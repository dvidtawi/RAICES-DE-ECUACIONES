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dad\metodos numericos1\Tarea Raices\"/>
    </mc:Choice>
  </mc:AlternateContent>
  <xr:revisionPtr revIDLastSave="0" documentId="13_ncr:1_{3125ED3D-F013-49F9-99ED-B81EC92ACA09}" xr6:coauthVersionLast="47" xr6:coauthVersionMax="47" xr10:uidLastSave="{00000000-0000-0000-0000-000000000000}"/>
  <bookViews>
    <workbookView xWindow="-120" yWindow="-120" windowWidth="20730" windowHeight="11040" activeTab="2" xr2:uid="{C30A3FF1-36C0-4367-ADCC-66F09DB5ACC6}"/>
  </bookViews>
  <sheets>
    <sheet name="Metodo de la secante" sheetId="1" r:id="rId1"/>
    <sheet name="Metodo de Newton" sheetId="2" r:id="rId2"/>
    <sheet name="Metodo de Biseccion" sheetId="3" r:id="rId3"/>
    <sheet name="Grafic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5" i="3" l="1"/>
  <c r="E155" i="3" s="1"/>
  <c r="E154" i="3"/>
  <c r="D154" i="3"/>
  <c r="C154" i="3"/>
  <c r="A155" i="3" s="1"/>
  <c r="B128" i="3"/>
  <c r="E128" i="3" s="1"/>
  <c r="E127" i="3"/>
  <c r="D127" i="3"/>
  <c r="C127" i="3"/>
  <c r="A128" i="3" s="1"/>
  <c r="D128" i="3" s="1"/>
  <c r="A110" i="3"/>
  <c r="E109" i="3"/>
  <c r="D109" i="3"/>
  <c r="C109" i="3"/>
  <c r="F109" i="3" s="1"/>
  <c r="B93" i="3"/>
  <c r="B94" i="3" s="1"/>
  <c r="E94" i="3" s="1"/>
  <c r="E92" i="3"/>
  <c r="D92" i="3"/>
  <c r="C92" i="3"/>
  <c r="A93" i="3" s="1"/>
  <c r="B71" i="3"/>
  <c r="E71" i="3" s="1"/>
  <c r="E70" i="3"/>
  <c r="D70" i="3"/>
  <c r="C70" i="3"/>
  <c r="F70" i="3" s="1"/>
  <c r="A42" i="3"/>
  <c r="D42" i="3" s="1"/>
  <c r="E41" i="3"/>
  <c r="D41" i="3"/>
  <c r="C41" i="3"/>
  <c r="B42" i="3" s="1"/>
  <c r="A28" i="3"/>
  <c r="A29" i="3" s="1"/>
  <c r="D29" i="3" s="1"/>
  <c r="F27" i="3"/>
  <c r="E27" i="3"/>
  <c r="D27" i="3"/>
  <c r="C27" i="3"/>
  <c r="B28" i="3" s="1"/>
  <c r="D155" i="3" l="1"/>
  <c r="A156" i="3"/>
  <c r="D28" i="3"/>
  <c r="F154" i="3"/>
  <c r="A71" i="3"/>
  <c r="D71" i="3" s="1"/>
  <c r="B110" i="3"/>
  <c r="B111" i="3" s="1"/>
  <c r="E111" i="3" s="1"/>
  <c r="C155" i="3"/>
  <c r="D156" i="3"/>
  <c r="E93" i="3"/>
  <c r="F127" i="3"/>
  <c r="B129" i="3"/>
  <c r="E129" i="3" s="1"/>
  <c r="D93" i="3"/>
  <c r="C93" i="3"/>
  <c r="F92" i="3"/>
  <c r="D110" i="3"/>
  <c r="C128" i="3"/>
  <c r="C71" i="3"/>
  <c r="E28" i="3"/>
  <c r="C28" i="3"/>
  <c r="B43" i="3"/>
  <c r="E42" i="3"/>
  <c r="F41" i="3"/>
  <c r="C42" i="3"/>
  <c r="A72" i="3" l="1"/>
  <c r="C110" i="3"/>
  <c r="E110" i="3"/>
  <c r="F155" i="3"/>
  <c r="B156" i="3"/>
  <c r="F128" i="3"/>
  <c r="A129" i="3"/>
  <c r="F93" i="3"/>
  <c r="A94" i="3"/>
  <c r="F71" i="3"/>
  <c r="B72" i="3"/>
  <c r="C72" i="3"/>
  <c r="D72" i="3"/>
  <c r="F42" i="3"/>
  <c r="A43" i="3"/>
  <c r="B44" i="3"/>
  <c r="E43" i="3"/>
  <c r="F28" i="3"/>
  <c r="B29" i="3"/>
  <c r="F110" i="3" l="1"/>
  <c r="A111" i="3"/>
  <c r="B157" i="3"/>
  <c r="E156" i="3"/>
  <c r="C156" i="3"/>
  <c r="D94" i="3"/>
  <c r="C94" i="3"/>
  <c r="A95" i="3"/>
  <c r="A130" i="3"/>
  <c r="C129" i="3"/>
  <c r="D129" i="3"/>
  <c r="A73" i="3"/>
  <c r="F72" i="3"/>
  <c r="B73" i="3"/>
  <c r="E72" i="3"/>
  <c r="B30" i="3"/>
  <c r="E29" i="3"/>
  <c r="C29" i="3"/>
  <c r="B45" i="3"/>
  <c r="E44" i="3"/>
  <c r="C43" i="3"/>
  <c r="D43" i="3"/>
  <c r="A112" i="3" l="1"/>
  <c r="D112" i="3" s="1"/>
  <c r="C111" i="3"/>
  <c r="D111" i="3"/>
  <c r="A157" i="3"/>
  <c r="F156" i="3"/>
  <c r="B158" i="3"/>
  <c r="E157" i="3"/>
  <c r="A96" i="3"/>
  <c r="D95" i="3"/>
  <c r="F94" i="3"/>
  <c r="B95" i="3"/>
  <c r="E95" i="3" s="1"/>
  <c r="B130" i="3"/>
  <c r="E130" i="3" s="1"/>
  <c r="F129" i="3"/>
  <c r="A131" i="3"/>
  <c r="D130" i="3"/>
  <c r="B74" i="3"/>
  <c r="E74" i="3" s="1"/>
  <c r="E73" i="3"/>
  <c r="D73" i="3"/>
  <c r="C73" i="3"/>
  <c r="A44" i="3"/>
  <c r="F43" i="3"/>
  <c r="B46" i="3"/>
  <c r="E45" i="3"/>
  <c r="F29" i="3"/>
  <c r="A30" i="3"/>
  <c r="B31" i="3"/>
  <c r="E31" i="3" s="1"/>
  <c r="E30" i="3"/>
  <c r="C112" i="3" l="1"/>
  <c r="F112" i="3" s="1"/>
  <c r="B112" i="3"/>
  <c r="F111" i="3"/>
  <c r="E158" i="3"/>
  <c r="B159" i="3"/>
  <c r="E159" i="3" s="1"/>
  <c r="D157" i="3"/>
  <c r="C157" i="3"/>
  <c r="C95" i="3"/>
  <c r="D131" i="3"/>
  <c r="A132" i="3"/>
  <c r="C130" i="3"/>
  <c r="D96" i="3"/>
  <c r="A97" i="3"/>
  <c r="A74" i="3"/>
  <c r="F73" i="3"/>
  <c r="D30" i="3"/>
  <c r="C30" i="3"/>
  <c r="B47" i="3"/>
  <c r="E47" i="3" s="1"/>
  <c r="E46" i="3"/>
  <c r="D44" i="3"/>
  <c r="C44" i="3"/>
  <c r="A113" i="3" l="1"/>
  <c r="B113" i="3"/>
  <c r="E113" i="3" s="1"/>
  <c r="E112" i="3"/>
  <c r="F157" i="3"/>
  <c r="A158" i="3"/>
  <c r="B131" i="3"/>
  <c r="F130" i="3"/>
  <c r="A114" i="3"/>
  <c r="D113" i="3"/>
  <c r="C113" i="3"/>
  <c r="D132" i="3"/>
  <c r="D97" i="3"/>
  <c r="B96" i="3"/>
  <c r="F95" i="3"/>
  <c r="D74" i="3"/>
  <c r="C74" i="3"/>
  <c r="A75" i="3"/>
  <c r="A45" i="3"/>
  <c r="F44" i="3"/>
  <c r="A31" i="3"/>
  <c r="F30" i="3"/>
  <c r="D158" i="3" l="1"/>
  <c r="C158" i="3"/>
  <c r="E131" i="3"/>
  <c r="C131" i="3"/>
  <c r="F113" i="3"/>
  <c r="B114" i="3"/>
  <c r="E114" i="3" s="1"/>
  <c r="A115" i="3"/>
  <c r="D114" i="3"/>
  <c r="E96" i="3"/>
  <c r="C96" i="3"/>
  <c r="D75" i="3"/>
  <c r="B75" i="3"/>
  <c r="C75" i="3" s="1"/>
  <c r="F74" i="3"/>
  <c r="D31" i="3"/>
  <c r="C31" i="3"/>
  <c r="A32" i="3"/>
  <c r="D45" i="3"/>
  <c r="C45" i="3"/>
  <c r="C114" i="3" l="1"/>
  <c r="F158" i="3"/>
  <c r="A159" i="3"/>
  <c r="D115" i="3"/>
  <c r="A116" i="3"/>
  <c r="B97" i="3"/>
  <c r="F96" i="3"/>
  <c r="B115" i="3"/>
  <c r="E115" i="3" s="1"/>
  <c r="F114" i="3"/>
  <c r="B132" i="3"/>
  <c r="F131" i="3"/>
  <c r="E75" i="3"/>
  <c r="B76" i="3"/>
  <c r="E76" i="3" s="1"/>
  <c r="F75" i="3"/>
  <c r="A76" i="3"/>
  <c r="A46" i="3"/>
  <c r="F45" i="3"/>
  <c r="D32" i="3"/>
  <c r="F31" i="3"/>
  <c r="B32" i="3"/>
  <c r="C32" i="3" s="1"/>
  <c r="A160" i="3" l="1"/>
  <c r="D159" i="3"/>
  <c r="C159" i="3"/>
  <c r="E132" i="3"/>
  <c r="B133" i="3"/>
  <c r="C132" i="3"/>
  <c r="E97" i="3"/>
  <c r="B98" i="3"/>
  <c r="E98" i="3" s="1"/>
  <c r="C97" i="3"/>
  <c r="D116" i="3"/>
  <c r="A117" i="3"/>
  <c r="C115" i="3"/>
  <c r="A77" i="3"/>
  <c r="D76" i="3"/>
  <c r="C76" i="3"/>
  <c r="F32" i="3"/>
  <c r="A33" i="3"/>
  <c r="E32" i="3"/>
  <c r="B33" i="3"/>
  <c r="E33" i="3" s="1"/>
  <c r="D46" i="3"/>
  <c r="C46" i="3"/>
  <c r="F159" i="3" l="1"/>
  <c r="B160" i="3"/>
  <c r="E160" i="3" s="1"/>
  <c r="A161" i="3"/>
  <c r="C160" i="3"/>
  <c r="D160" i="3"/>
  <c r="F97" i="3"/>
  <c r="A98" i="3"/>
  <c r="F132" i="3"/>
  <c r="A133" i="3"/>
  <c r="B116" i="3"/>
  <c r="F115" i="3"/>
  <c r="B134" i="3"/>
  <c r="E133" i="3"/>
  <c r="D117" i="3"/>
  <c r="B77" i="3"/>
  <c r="E77" i="3" s="1"/>
  <c r="F76" i="3"/>
  <c r="A78" i="3"/>
  <c r="D77" i="3"/>
  <c r="F46" i="3"/>
  <c r="A47" i="3"/>
  <c r="A34" i="3"/>
  <c r="D33" i="3"/>
  <c r="C33" i="3"/>
  <c r="C77" i="3" l="1"/>
  <c r="B161" i="3"/>
  <c r="F160" i="3"/>
  <c r="D161" i="3"/>
  <c r="C161" i="3"/>
  <c r="B135" i="3"/>
  <c r="E134" i="3"/>
  <c r="E116" i="3"/>
  <c r="C116" i="3"/>
  <c r="C133" i="3"/>
  <c r="D133" i="3"/>
  <c r="D98" i="3"/>
  <c r="C98" i="3"/>
  <c r="A99" i="3"/>
  <c r="D78" i="3"/>
  <c r="B78" i="3"/>
  <c r="C78" i="3" s="1"/>
  <c r="F77" i="3"/>
  <c r="B34" i="3"/>
  <c r="F33" i="3"/>
  <c r="D34" i="3"/>
  <c r="C34" i="3"/>
  <c r="A48" i="3"/>
  <c r="D47" i="3"/>
  <c r="C47" i="3"/>
  <c r="A162" i="3" l="1"/>
  <c r="F161" i="3"/>
  <c r="B162" i="3"/>
  <c r="E161" i="3"/>
  <c r="F98" i="3"/>
  <c r="B99" i="3"/>
  <c r="E99" i="3" s="1"/>
  <c r="A134" i="3"/>
  <c r="F133" i="3"/>
  <c r="F116" i="3"/>
  <c r="B117" i="3"/>
  <c r="A100" i="3"/>
  <c r="D99" i="3"/>
  <c r="E135" i="3"/>
  <c r="B136" i="3"/>
  <c r="E136" i="3" s="1"/>
  <c r="A79" i="3"/>
  <c r="F78" i="3"/>
  <c r="B79" i="3"/>
  <c r="E79" i="3" s="1"/>
  <c r="E78" i="3"/>
  <c r="D48" i="3"/>
  <c r="B48" i="3"/>
  <c r="F47" i="3"/>
  <c r="A35" i="3"/>
  <c r="F34" i="3"/>
  <c r="B35" i="3"/>
  <c r="E35" i="3" s="1"/>
  <c r="E34" i="3"/>
  <c r="C99" i="3" l="1"/>
  <c r="E162" i="3"/>
  <c r="B163" i="3"/>
  <c r="D162" i="3"/>
  <c r="C162" i="3"/>
  <c r="B100" i="3"/>
  <c r="E100" i="3" s="1"/>
  <c r="F99" i="3"/>
  <c r="D134" i="3"/>
  <c r="C134" i="3"/>
  <c r="B118" i="3"/>
  <c r="E117" i="3"/>
  <c r="C117" i="3"/>
  <c r="A101" i="3"/>
  <c r="D100" i="3"/>
  <c r="D79" i="3"/>
  <c r="C79" i="3"/>
  <c r="F79" i="3" s="1"/>
  <c r="B49" i="3"/>
  <c r="E49" i="3" s="1"/>
  <c r="E48" i="3"/>
  <c r="D35" i="3"/>
  <c r="C35" i="3"/>
  <c r="A36" i="3"/>
  <c r="C48" i="3"/>
  <c r="C100" i="3" l="1"/>
  <c r="E163" i="3"/>
  <c r="B164" i="3"/>
  <c r="E164" i="3" s="1"/>
  <c r="F162" i="3"/>
  <c r="A163" i="3"/>
  <c r="B101" i="3"/>
  <c r="E101" i="3" s="1"/>
  <c r="F100" i="3"/>
  <c r="F117" i="3"/>
  <c r="A118" i="3"/>
  <c r="B119" i="3"/>
  <c r="E119" i="3" s="1"/>
  <c r="E118" i="3"/>
  <c r="A135" i="3"/>
  <c r="F134" i="3"/>
  <c r="D101" i="3"/>
  <c r="A102" i="3"/>
  <c r="D36" i="3"/>
  <c r="A49" i="3"/>
  <c r="F48" i="3"/>
  <c r="F35" i="3"/>
  <c r="B36" i="3"/>
  <c r="E36" i="3" s="1"/>
  <c r="D163" i="3" l="1"/>
  <c r="C163" i="3"/>
  <c r="D135" i="3"/>
  <c r="C135" i="3"/>
  <c r="A103" i="3"/>
  <c r="D102" i="3"/>
  <c r="C118" i="3"/>
  <c r="D118" i="3"/>
  <c r="C101" i="3"/>
  <c r="D49" i="3"/>
  <c r="C49" i="3"/>
  <c r="A50" i="3"/>
  <c r="C36" i="3"/>
  <c r="F36" i="3" s="1"/>
  <c r="F163" i="3" l="1"/>
  <c r="A164" i="3"/>
  <c r="A136" i="3"/>
  <c r="F135" i="3"/>
  <c r="F101" i="3"/>
  <c r="B102" i="3"/>
  <c r="A119" i="3"/>
  <c r="F118" i="3"/>
  <c r="D103" i="3"/>
  <c r="B50" i="3"/>
  <c r="F49" i="3"/>
  <c r="D50" i="3"/>
  <c r="C50" i="3"/>
  <c r="A165" i="3" l="1"/>
  <c r="D164" i="3"/>
  <c r="C164" i="3"/>
  <c r="C119" i="3"/>
  <c r="D119" i="3"/>
  <c r="A120" i="3"/>
  <c r="E102" i="3"/>
  <c r="C102" i="3"/>
  <c r="D136" i="3"/>
  <c r="C136" i="3"/>
  <c r="A137" i="3"/>
  <c r="F50" i="3"/>
  <c r="A51" i="3"/>
  <c r="E50" i="3"/>
  <c r="B51" i="3"/>
  <c r="E51" i="3" s="1"/>
  <c r="B165" i="3" l="1"/>
  <c r="E165" i="3" s="1"/>
  <c r="F164" i="3"/>
  <c r="A166" i="3"/>
  <c r="D165" i="3"/>
  <c r="F136" i="3"/>
  <c r="B137" i="3"/>
  <c r="C137" i="3" s="1"/>
  <c r="F102" i="3"/>
  <c r="B103" i="3"/>
  <c r="D137" i="3"/>
  <c r="D120" i="3"/>
  <c r="A121" i="3"/>
  <c r="B120" i="3"/>
  <c r="E120" i="3" s="1"/>
  <c r="F119" i="3"/>
  <c r="A52" i="3"/>
  <c r="D51" i="3"/>
  <c r="C51" i="3"/>
  <c r="C165" i="3" l="1"/>
  <c r="C120" i="3"/>
  <c r="F120" i="3" s="1"/>
  <c r="D166" i="3"/>
  <c r="A167" i="3"/>
  <c r="B166" i="3"/>
  <c r="E166" i="3" s="1"/>
  <c r="F165" i="3"/>
  <c r="D121" i="3"/>
  <c r="A122" i="3"/>
  <c r="B121" i="3"/>
  <c r="E121" i="3" s="1"/>
  <c r="A138" i="3"/>
  <c r="F137" i="3"/>
  <c r="B104" i="3"/>
  <c r="E104" i="3" s="1"/>
  <c r="E103" i="3"/>
  <c r="C103" i="3"/>
  <c r="B138" i="3"/>
  <c r="E137" i="3"/>
  <c r="B52" i="3"/>
  <c r="F51" i="3"/>
  <c r="D52" i="3"/>
  <c r="C52" i="3"/>
  <c r="D167" i="3" l="1"/>
  <c r="C166" i="3"/>
  <c r="C138" i="3"/>
  <c r="D138" i="3"/>
  <c r="B139" i="3"/>
  <c r="E138" i="3"/>
  <c r="D122" i="3"/>
  <c r="A104" i="3"/>
  <c r="F103" i="3"/>
  <c r="C121" i="3"/>
  <c r="A53" i="3"/>
  <c r="F52" i="3"/>
  <c r="B53" i="3"/>
  <c r="E52" i="3"/>
  <c r="F166" i="3" l="1"/>
  <c r="B167" i="3"/>
  <c r="D104" i="3"/>
  <c r="C104" i="3"/>
  <c r="F104" i="3" s="1"/>
  <c r="E139" i="3"/>
  <c r="B140" i="3"/>
  <c r="E140" i="3" s="1"/>
  <c r="F121" i="3"/>
  <c r="B122" i="3"/>
  <c r="A139" i="3"/>
  <c r="F138" i="3"/>
  <c r="B54" i="3"/>
  <c r="E54" i="3" s="1"/>
  <c r="E53" i="3"/>
  <c r="D53" i="3"/>
  <c r="C53" i="3"/>
  <c r="E167" i="3" l="1"/>
  <c r="C167" i="3"/>
  <c r="F167" i="3" s="1"/>
  <c r="D139" i="3"/>
  <c r="C139" i="3"/>
  <c r="E122" i="3"/>
  <c r="C122" i="3"/>
  <c r="F122" i="3" s="1"/>
  <c r="A54" i="3"/>
  <c r="F53" i="3"/>
  <c r="A140" i="3" l="1"/>
  <c r="F139" i="3"/>
  <c r="D54" i="3"/>
  <c r="C54" i="3"/>
  <c r="F54" i="3" s="1"/>
  <c r="D140" i="3" l="1"/>
  <c r="C140" i="3"/>
  <c r="F140" i="3" s="1"/>
  <c r="C76" i="4" l="1"/>
  <c r="C75" i="4"/>
  <c r="C74" i="4"/>
  <c r="C73" i="4"/>
  <c r="C72" i="4"/>
  <c r="C71" i="4"/>
  <c r="C70" i="4"/>
  <c r="C69" i="4"/>
  <c r="C68" i="4"/>
  <c r="C67" i="4"/>
  <c r="C66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33" i="4"/>
  <c r="C32" i="4"/>
  <c r="C31" i="4"/>
  <c r="C30" i="4"/>
  <c r="C29" i="4"/>
  <c r="C28" i="4"/>
  <c r="C27" i="4"/>
  <c r="C26" i="4"/>
  <c r="C25" i="4"/>
  <c r="C24" i="4"/>
  <c r="C15" i="4"/>
  <c r="C11" i="4"/>
  <c r="C12" i="4"/>
  <c r="C13" i="4"/>
  <c r="C14" i="4"/>
  <c r="C10" i="4"/>
  <c r="C9" i="4"/>
  <c r="C8" i="4"/>
  <c r="C7" i="4"/>
  <c r="F64" i="1"/>
  <c r="F63" i="1"/>
  <c r="F70" i="1"/>
  <c r="F71" i="1"/>
  <c r="F72" i="1"/>
  <c r="G80" i="2"/>
  <c r="B91" i="2"/>
  <c r="C91" i="2" s="1"/>
  <c r="G90" i="2"/>
  <c r="D90" i="2"/>
  <c r="C90" i="2"/>
  <c r="E90" i="2" s="1"/>
  <c r="F90" i="2" s="1"/>
  <c r="B79" i="2"/>
  <c r="D78" i="2"/>
  <c r="C78" i="2"/>
  <c r="G78" i="2" s="1"/>
  <c r="B71" i="2"/>
  <c r="G70" i="2"/>
  <c r="E70" i="2"/>
  <c r="F70" i="2" s="1"/>
  <c r="D70" i="2"/>
  <c r="C70" i="2"/>
  <c r="D58" i="2"/>
  <c r="C58" i="2"/>
  <c r="B59" i="2" s="1"/>
  <c r="D43" i="2"/>
  <c r="C43" i="2"/>
  <c r="B44" i="2" s="1"/>
  <c r="D27" i="2"/>
  <c r="C27" i="2"/>
  <c r="G27" i="2" s="1"/>
  <c r="E161" i="1"/>
  <c r="D161" i="1"/>
  <c r="C148" i="1"/>
  <c r="B162" i="1"/>
  <c r="D162" i="1" s="1"/>
  <c r="C151" i="1"/>
  <c r="C152" i="1"/>
  <c r="C153" i="1"/>
  <c r="C154" i="1"/>
  <c r="C155" i="1"/>
  <c r="C156" i="1"/>
  <c r="C157" i="1"/>
  <c r="C158" i="1"/>
  <c r="C149" i="1"/>
  <c r="C150" i="1"/>
  <c r="C103" i="1"/>
  <c r="B132" i="1"/>
  <c r="D132" i="1" s="1"/>
  <c r="E131" i="1"/>
  <c r="D131" i="1"/>
  <c r="B122" i="1"/>
  <c r="D122" i="1" s="1"/>
  <c r="E121" i="1"/>
  <c r="D121" i="1"/>
  <c r="E109" i="1"/>
  <c r="D109" i="1"/>
  <c r="B110" i="1"/>
  <c r="D110" i="1" s="1"/>
  <c r="C104" i="1"/>
  <c r="C105" i="1"/>
  <c r="C96" i="1"/>
  <c r="C97" i="1"/>
  <c r="C98" i="1"/>
  <c r="C99" i="1"/>
  <c r="C100" i="1"/>
  <c r="C101" i="1"/>
  <c r="C102" i="1"/>
  <c r="C95" i="1"/>
  <c r="C94" i="1"/>
  <c r="C93" i="1"/>
  <c r="E76" i="1"/>
  <c r="D76" i="1"/>
  <c r="B77" i="1"/>
  <c r="D77" i="1" s="1"/>
  <c r="F65" i="1"/>
  <c r="F66" i="1"/>
  <c r="F67" i="1"/>
  <c r="F68" i="1"/>
  <c r="F69" i="1"/>
  <c r="B48" i="1"/>
  <c r="D48" i="1" s="1"/>
  <c r="E47" i="1"/>
  <c r="F47" i="1" s="1"/>
  <c r="C48" i="1" s="1"/>
  <c r="B49" i="1" s="1"/>
  <c r="D49" i="1" s="1"/>
  <c r="D47" i="1"/>
  <c r="B36" i="1"/>
  <c r="D36" i="1" s="1"/>
  <c r="E35" i="1"/>
  <c r="D35" i="1"/>
  <c r="C29" i="1"/>
  <c r="C30" i="1"/>
  <c r="C31" i="1"/>
  <c r="C32" i="1"/>
  <c r="F35" i="1" l="1"/>
  <c r="C36" i="1" s="1"/>
  <c r="B37" i="1" s="1"/>
  <c r="D37" i="1" s="1"/>
  <c r="G91" i="2"/>
  <c r="D91" i="2"/>
  <c r="E91" i="2" s="1"/>
  <c r="F91" i="2" s="1"/>
  <c r="C59" i="2"/>
  <c r="B60" i="2" s="1"/>
  <c r="D59" i="2"/>
  <c r="C79" i="2"/>
  <c r="D79" i="2"/>
  <c r="E58" i="2"/>
  <c r="F58" i="2" s="1"/>
  <c r="C71" i="2"/>
  <c r="G58" i="2"/>
  <c r="D71" i="2"/>
  <c r="E78" i="2"/>
  <c r="F78" i="2" s="1"/>
  <c r="C44" i="2"/>
  <c r="D44" i="2"/>
  <c r="B45" i="2" s="1"/>
  <c r="E43" i="2"/>
  <c r="F43" i="2" s="1"/>
  <c r="G43" i="2"/>
  <c r="B28" i="2"/>
  <c r="C28" i="2"/>
  <c r="D28" i="2"/>
  <c r="E27" i="2"/>
  <c r="F27" i="2" s="1"/>
  <c r="F161" i="1"/>
  <c r="C162" i="1" s="1"/>
  <c r="F131" i="1"/>
  <c r="C132" i="1" s="1"/>
  <c r="E132" i="1" s="1"/>
  <c r="F132" i="1" s="1"/>
  <c r="F121" i="1"/>
  <c r="C122" i="1" s="1"/>
  <c r="E122" i="1" s="1"/>
  <c r="F122" i="1" s="1"/>
  <c r="B123" i="1"/>
  <c r="D123" i="1" s="1"/>
  <c r="F109" i="1"/>
  <c r="C110" i="1" s="1"/>
  <c r="F76" i="1"/>
  <c r="C77" i="1" s="1"/>
  <c r="E48" i="1"/>
  <c r="F48" i="1" s="1"/>
  <c r="B163" i="1" l="1"/>
  <c r="D163" i="1" s="1"/>
  <c r="E162" i="1"/>
  <c r="F162" i="1" s="1"/>
  <c r="E36" i="1"/>
  <c r="F36" i="1" s="1"/>
  <c r="B92" i="2"/>
  <c r="D60" i="2"/>
  <c r="C60" i="2"/>
  <c r="B61" i="2"/>
  <c r="G79" i="2"/>
  <c r="E79" i="2"/>
  <c r="F79" i="2" s="1"/>
  <c r="E71" i="2"/>
  <c r="F71" i="2" s="1"/>
  <c r="B72" i="2"/>
  <c r="G71" i="2"/>
  <c r="B80" i="2"/>
  <c r="G59" i="2"/>
  <c r="E59" i="2"/>
  <c r="F59" i="2" s="1"/>
  <c r="D45" i="2"/>
  <c r="C45" i="2"/>
  <c r="B46" i="2"/>
  <c r="G44" i="2"/>
  <c r="E44" i="2"/>
  <c r="F44" i="2" s="1"/>
  <c r="G28" i="2"/>
  <c r="E28" i="2"/>
  <c r="F28" i="2" s="1"/>
  <c r="B29" i="2"/>
  <c r="B133" i="1"/>
  <c r="D133" i="1" s="1"/>
  <c r="G132" i="1"/>
  <c r="C133" i="1"/>
  <c r="B111" i="1"/>
  <c r="D111" i="1" s="1"/>
  <c r="E110" i="1"/>
  <c r="F110" i="1" s="1"/>
  <c r="C111" i="1" s="1"/>
  <c r="G122" i="1"/>
  <c r="C123" i="1"/>
  <c r="G48" i="1"/>
  <c r="C49" i="1"/>
  <c r="B78" i="1"/>
  <c r="D78" i="1" s="1"/>
  <c r="E77" i="1"/>
  <c r="F77" i="1" s="1"/>
  <c r="C78" i="1" s="1"/>
  <c r="G36" i="1" l="1"/>
  <c r="C37" i="1"/>
  <c r="C163" i="1"/>
  <c r="G162" i="1"/>
  <c r="D92" i="2"/>
  <c r="C92" i="2"/>
  <c r="C80" i="2"/>
  <c r="D80" i="2"/>
  <c r="E60" i="2"/>
  <c r="F60" i="2" s="1"/>
  <c r="G60" i="2"/>
  <c r="D72" i="2"/>
  <c r="B73" i="2" s="1"/>
  <c r="C72" i="2"/>
  <c r="D61" i="2"/>
  <c r="C61" i="2"/>
  <c r="B62" i="2"/>
  <c r="D46" i="2"/>
  <c r="E46" i="2" s="1"/>
  <c r="F46" i="2" s="1"/>
  <c r="C46" i="2"/>
  <c r="G46" i="2" s="1"/>
  <c r="E45" i="2"/>
  <c r="F45" i="2" s="1"/>
  <c r="G45" i="2"/>
  <c r="C29" i="2"/>
  <c r="D29" i="2"/>
  <c r="B30" i="2" s="1"/>
  <c r="B134" i="1"/>
  <c r="D134" i="1" s="1"/>
  <c r="E133" i="1"/>
  <c r="F133" i="1" s="1"/>
  <c r="E111" i="1"/>
  <c r="F111" i="1" s="1"/>
  <c r="B112" i="1"/>
  <c r="D112" i="1" s="1"/>
  <c r="G110" i="1"/>
  <c r="B124" i="1"/>
  <c r="D124" i="1" s="1"/>
  <c r="E123" i="1"/>
  <c r="F123" i="1" s="1"/>
  <c r="E78" i="1"/>
  <c r="F78" i="1" s="1"/>
  <c r="B79" i="1"/>
  <c r="D79" i="1" s="1"/>
  <c r="E37" i="1"/>
  <c r="F37" i="1" s="1"/>
  <c r="B38" i="1"/>
  <c r="D38" i="1" s="1"/>
  <c r="G77" i="1"/>
  <c r="E49" i="1"/>
  <c r="F49" i="1" s="1"/>
  <c r="B50" i="1"/>
  <c r="D50" i="1" s="1"/>
  <c r="E163" i="1" l="1"/>
  <c r="F163" i="1" s="1"/>
  <c r="B164" i="1"/>
  <c r="D164" i="1" s="1"/>
  <c r="G92" i="2"/>
  <c r="E92" i="2"/>
  <c r="F92" i="2" s="1"/>
  <c r="D73" i="2"/>
  <c r="C73" i="2"/>
  <c r="D62" i="2"/>
  <c r="C62" i="2"/>
  <c r="G61" i="2"/>
  <c r="E61" i="2"/>
  <c r="F61" i="2" s="1"/>
  <c r="G72" i="2"/>
  <c r="E72" i="2"/>
  <c r="F72" i="2" s="1"/>
  <c r="E80" i="2"/>
  <c r="F80" i="2" s="1"/>
  <c r="D30" i="2"/>
  <c r="C30" i="2"/>
  <c r="B31" i="2"/>
  <c r="G29" i="2"/>
  <c r="E29" i="2"/>
  <c r="F29" i="2" s="1"/>
  <c r="G133" i="1"/>
  <c r="C134" i="1"/>
  <c r="G111" i="1"/>
  <c r="C112" i="1"/>
  <c r="C124" i="1"/>
  <c r="G123" i="1"/>
  <c r="C50" i="1"/>
  <c r="G49" i="1"/>
  <c r="C38" i="1"/>
  <c r="G37" i="1"/>
  <c r="C79" i="1"/>
  <c r="G78" i="1"/>
  <c r="G163" i="1" l="1"/>
  <c r="C164" i="1"/>
  <c r="G62" i="2"/>
  <c r="E62" i="2"/>
  <c r="F62" i="2" s="1"/>
  <c r="B63" i="2"/>
  <c r="G73" i="2"/>
  <c r="E73" i="2"/>
  <c r="F73" i="2" s="1"/>
  <c r="B74" i="2"/>
  <c r="D31" i="2"/>
  <c r="C31" i="2"/>
  <c r="E30" i="2"/>
  <c r="F30" i="2" s="1"/>
  <c r="G30" i="2"/>
  <c r="B135" i="1"/>
  <c r="D135" i="1" s="1"/>
  <c r="E134" i="1"/>
  <c r="F134" i="1" s="1"/>
  <c r="B113" i="1"/>
  <c r="D113" i="1" s="1"/>
  <c r="E112" i="1"/>
  <c r="F112" i="1" s="1"/>
  <c r="B125" i="1"/>
  <c r="D125" i="1" s="1"/>
  <c r="E124" i="1"/>
  <c r="F124" i="1" s="1"/>
  <c r="E38" i="1"/>
  <c r="F38" i="1" s="1"/>
  <c r="B39" i="1"/>
  <c r="D39" i="1" s="1"/>
  <c r="B51" i="1"/>
  <c r="D51" i="1" s="1"/>
  <c r="E50" i="1"/>
  <c r="F50" i="1" s="1"/>
  <c r="E79" i="1"/>
  <c r="F79" i="1" s="1"/>
  <c r="B80" i="1"/>
  <c r="D80" i="1" s="1"/>
  <c r="E164" i="1" l="1"/>
  <c r="F164" i="1" s="1"/>
  <c r="B165" i="1"/>
  <c r="D165" i="1" s="1"/>
  <c r="D74" i="2"/>
  <c r="C74" i="2"/>
  <c r="C63" i="2"/>
  <c r="D63" i="2"/>
  <c r="G31" i="2"/>
  <c r="E31" i="2"/>
  <c r="F31" i="2" s="1"/>
  <c r="C135" i="1"/>
  <c r="G134" i="1"/>
  <c r="G112" i="1"/>
  <c r="C113" i="1"/>
  <c r="C125" i="1"/>
  <c r="G124" i="1"/>
  <c r="G38" i="1"/>
  <c r="C39" i="1"/>
  <c r="G79" i="1"/>
  <c r="C80" i="1"/>
  <c r="G50" i="1"/>
  <c r="C51" i="1"/>
  <c r="G164" i="1" l="1"/>
  <c r="C165" i="1"/>
  <c r="G63" i="2"/>
  <c r="E63" i="2"/>
  <c r="F63" i="2" s="1"/>
  <c r="G74" i="2"/>
  <c r="E74" i="2"/>
  <c r="F74" i="2" s="1"/>
  <c r="B64" i="2"/>
  <c r="B136" i="1"/>
  <c r="D136" i="1" s="1"/>
  <c r="E135" i="1"/>
  <c r="F135" i="1" s="1"/>
  <c r="B114" i="1"/>
  <c r="D114" i="1" s="1"/>
  <c r="E113" i="1"/>
  <c r="F113" i="1" s="1"/>
  <c r="E125" i="1"/>
  <c r="F125" i="1" s="1"/>
  <c r="B126" i="1"/>
  <c r="D126" i="1" s="1"/>
  <c r="B40" i="1"/>
  <c r="D40" i="1" s="1"/>
  <c r="E39" i="1"/>
  <c r="F39" i="1" s="1"/>
  <c r="E51" i="1"/>
  <c r="F51" i="1" s="1"/>
  <c r="B52" i="1"/>
  <c r="D52" i="1" s="1"/>
  <c r="B81" i="1"/>
  <c r="D81" i="1" s="1"/>
  <c r="E80" i="1"/>
  <c r="F80" i="1" s="1"/>
  <c r="B166" i="1" l="1"/>
  <c r="D166" i="1" s="1"/>
  <c r="E165" i="1"/>
  <c r="F165" i="1" s="1"/>
  <c r="D64" i="2"/>
  <c r="C64" i="2"/>
  <c r="C136" i="1"/>
  <c r="G135" i="1"/>
  <c r="C114" i="1"/>
  <c r="G113" i="1"/>
  <c r="C126" i="1"/>
  <c r="G125" i="1"/>
  <c r="C52" i="1"/>
  <c r="G51" i="1"/>
  <c r="G39" i="1"/>
  <c r="C40" i="1"/>
  <c r="C81" i="1"/>
  <c r="E81" i="1" s="1"/>
  <c r="F81" i="1" s="1"/>
  <c r="G81" i="1" s="1"/>
  <c r="G80" i="1"/>
  <c r="G165" i="1" l="1"/>
  <c r="C166" i="1"/>
  <c r="E64" i="2"/>
  <c r="F64" i="2" s="1"/>
  <c r="G64" i="2"/>
  <c r="B65" i="2"/>
  <c r="E136" i="1"/>
  <c r="F136" i="1" s="1"/>
  <c r="G136" i="1" s="1"/>
  <c r="E114" i="1"/>
  <c r="F114" i="1" s="1"/>
  <c r="B115" i="1"/>
  <c r="D115" i="1" s="1"/>
  <c r="E126" i="1"/>
  <c r="F126" i="1" s="1"/>
  <c r="E52" i="1"/>
  <c r="B53" i="1"/>
  <c r="D53" i="1" s="1"/>
  <c r="F52" i="1"/>
  <c r="B41" i="1"/>
  <c r="D41" i="1" s="1"/>
  <c r="E40" i="1"/>
  <c r="F40" i="1" s="1"/>
  <c r="E166" i="1" l="1"/>
  <c r="F166" i="1" s="1"/>
  <c r="G166" i="1" s="1"/>
  <c r="D65" i="2"/>
  <c r="C65" i="2"/>
  <c r="B66" i="2"/>
  <c r="C115" i="1"/>
  <c r="G114" i="1"/>
  <c r="G126" i="1"/>
  <c r="G52" i="1"/>
  <c r="C53" i="1"/>
  <c r="C41" i="1"/>
  <c r="G40" i="1"/>
  <c r="D66" i="2" l="1"/>
  <c r="C66" i="2"/>
  <c r="G65" i="2"/>
  <c r="E65" i="2"/>
  <c r="F65" i="2" s="1"/>
  <c r="E115" i="1"/>
  <c r="F115" i="1" s="1"/>
  <c r="B116" i="1"/>
  <c r="D116" i="1" s="1"/>
  <c r="E41" i="1"/>
  <c r="F41" i="1" s="1"/>
  <c r="B42" i="1"/>
  <c r="D42" i="1" s="1"/>
  <c r="E53" i="1"/>
  <c r="F53" i="1" s="1"/>
  <c r="B54" i="1"/>
  <c r="D54" i="1" s="1"/>
  <c r="G66" i="2" l="1"/>
  <c r="E66" i="2"/>
  <c r="F66" i="2" s="1"/>
  <c r="G115" i="1"/>
  <c r="C116" i="1"/>
  <c r="E116" i="1" s="1"/>
  <c r="F116" i="1" s="1"/>
  <c r="G116" i="1" s="1"/>
  <c r="G53" i="1"/>
  <c r="C54" i="1"/>
  <c r="E54" i="1" s="1"/>
  <c r="F54" i="1" s="1"/>
  <c r="G41" i="1"/>
  <c r="C42" i="1"/>
  <c r="E42" i="1" s="1"/>
  <c r="F42" i="1" s="1"/>
  <c r="G42" i="1" s="1"/>
  <c r="G54" i="1"/>
</calcChain>
</file>

<file path=xl/sharedStrings.xml><?xml version="1.0" encoding="utf-8"?>
<sst xmlns="http://schemas.openxmlformats.org/spreadsheetml/2006/main" count="239" uniqueCount="61">
  <si>
    <t>#</t>
  </si>
  <si>
    <t>f(Xn-1)</t>
  </si>
  <si>
    <t>f(Xn)</t>
  </si>
  <si>
    <t>Xn+1</t>
  </si>
  <si>
    <t>EJERCICIO1</t>
  </si>
  <si>
    <t>f(x)</t>
  </si>
  <si>
    <t>evaluamos la ecuacion para encontrar cambio de signos, y en el intervalo [0,8]</t>
  </si>
  <si>
    <t>cambio de signo entre 0 y 4</t>
  </si>
  <si>
    <t>cambio de signo entre 6 y 8</t>
  </si>
  <si>
    <t>para la primera raiz</t>
  </si>
  <si>
    <t># de iteracion</t>
  </si>
  <si>
    <t>Er%</t>
  </si>
  <si>
    <t>formula de la secante</t>
  </si>
  <si>
    <t>X(n-1)</t>
  </si>
  <si>
    <t>X(n)</t>
  </si>
  <si>
    <t>tol = 0,0005</t>
  </si>
  <si>
    <t>para la segunda raiz</t>
  </si>
  <si>
    <t>EJERCICIO 2</t>
  </si>
  <si>
    <t>evaluamos la funcion</t>
  </si>
  <si>
    <t>EJERCICIO 3</t>
  </si>
  <si>
    <t>cambio de signo</t>
  </si>
  <si>
    <t>seegunda raiz</t>
  </si>
  <si>
    <t>tercera raiz</t>
  </si>
  <si>
    <t>EJERCICIO4</t>
  </si>
  <si>
    <t>tal que x&gt;0</t>
  </si>
  <si>
    <t>CAMBIO DE SIGNO</t>
  </si>
  <si>
    <t>x</t>
  </si>
  <si>
    <t>f'(x)</t>
  </si>
  <si>
    <t>-(f(x)/f'(x))</t>
  </si>
  <si>
    <t>x(actualizado)</t>
  </si>
  <si>
    <t>x0 = −6 (raíz negativa lejana)</t>
  </si>
  <si>
    <t>x0 = −2 (raíz negativa cercana a 0)</t>
  </si>
  <si>
    <t>x0 = 0.6 (raíz positiva pequeña)</t>
  </si>
  <si>
    <t>Resultados Reales</t>
  </si>
  <si>
    <t>Raíz 2: 7.42156</t>
  </si>
  <si>
    <t>Raíz 1: 3.16101</t>
  </si>
  <si>
    <t>Raiz: −2.22573</t>
  </si>
  <si>
    <t>Raíz 3: 2.38475</t>
  </si>
  <si>
    <t>Raíz 2: 0.34730</t>
  </si>
  <si>
    <t>Raíz 1: −1.73205</t>
  </si>
  <si>
    <t>cambio de signo entre 5 y 6</t>
  </si>
  <si>
    <t>Soluciones Reales</t>
  </si>
  <si>
    <t>Raíz 1: 1.89254</t>
  </si>
  <si>
    <t>y</t>
  </si>
  <si>
    <t>EJERCICIO 1</t>
  </si>
  <si>
    <t>Y</t>
  </si>
  <si>
    <t>X</t>
  </si>
  <si>
    <t>EJERCICIO 4</t>
  </si>
  <si>
    <t>primera raiz [3,4]</t>
  </si>
  <si>
    <t>a</t>
  </si>
  <si>
    <t>b</t>
  </si>
  <si>
    <t>c</t>
  </si>
  <si>
    <t>f(a)</t>
  </si>
  <si>
    <t>f(b)</t>
  </si>
  <si>
    <t>f (  c  )</t>
  </si>
  <si>
    <t>segunda raiz [7,8]</t>
  </si>
  <si>
    <t>Intervalo inicial: [5,6]</t>
  </si>
  <si>
    <t>Raíz 1 en [−2,−1]</t>
  </si>
  <si>
    <t>Raíz 2 en [0,1]</t>
  </si>
  <si>
    <t>Raíz 3 en [1,2]</t>
  </si>
  <si>
    <t>Intervalo inicial: [3,4]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</si>
</sst>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000000"/>
    <numFmt numFmtId="166" formatCode="#,##0.0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92D050"/>
        <bgColor rgb="FFB6D7A8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0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Fill="1" applyBorder="1"/>
    <xf numFmtId="0" fontId="0" fillId="2" borderId="2" xfId="0" applyFill="1" applyBorder="1"/>
    <xf numFmtId="0" fontId="0" fillId="4" borderId="2" xfId="0" applyFill="1" applyBorder="1"/>
    <xf numFmtId="0" fontId="0" fillId="0" borderId="2" xfId="0" applyFill="1" applyBorder="1"/>
    <xf numFmtId="0" fontId="0" fillId="6" borderId="3" xfId="0" applyFill="1" applyBorder="1"/>
    <xf numFmtId="0" fontId="0" fillId="7" borderId="1" xfId="0" applyFill="1" applyBorder="1"/>
    <xf numFmtId="0" fontId="3" fillId="0" borderId="0" xfId="0" applyFont="1"/>
    <xf numFmtId="0" fontId="3" fillId="0" borderId="0" xfId="0" applyFont="1" applyFill="1"/>
    <xf numFmtId="0" fontId="1" fillId="8" borderId="1" xfId="0" applyFont="1" applyFill="1" applyBorder="1" applyAlignment="1">
      <alignment horizontal="center"/>
    </xf>
    <xf numFmtId="0" fontId="3" fillId="0" borderId="1" xfId="0" applyFont="1" applyBorder="1"/>
    <xf numFmtId="0" fontId="3" fillId="9" borderId="1" xfId="0" applyFont="1" applyFill="1" applyBorder="1"/>
    <xf numFmtId="0" fontId="3" fillId="10" borderId="1" xfId="0" applyFont="1" applyFill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5" fontId="3" fillId="10" borderId="1" xfId="0" applyNumberFormat="1" applyFont="1" applyFill="1" applyBorder="1"/>
    <xf numFmtId="164" fontId="3" fillId="9" borderId="1" xfId="0" applyNumberFormat="1" applyFont="1" applyFill="1" applyBorder="1"/>
    <xf numFmtId="165" fontId="3" fillId="9" borderId="1" xfId="0" applyNumberFormat="1" applyFont="1" applyFill="1" applyBorder="1"/>
    <xf numFmtId="166" fontId="3" fillId="0" borderId="1" xfId="0" applyNumberFormat="1" applyFont="1" applyBorder="1"/>
    <xf numFmtId="0" fontId="0" fillId="0" borderId="1" xfId="0" applyFont="1" applyBorder="1"/>
    <xf numFmtId="0" fontId="0" fillId="9" borderId="1" xfId="0" applyFont="1" applyFill="1" applyBorder="1"/>
    <xf numFmtId="0" fontId="0" fillId="10" borderId="1" xfId="0" applyFont="1" applyFill="1" applyBorder="1"/>
    <xf numFmtId="0" fontId="0" fillId="4" borderId="0" xfId="0" applyFill="1"/>
    <xf numFmtId="0" fontId="0" fillId="11" borderId="1" xfId="0" applyFill="1" applyBorder="1"/>
    <xf numFmtId="0" fontId="0" fillId="0" borderId="3" xfId="0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4" xfId="0" applyBorder="1" applyAlignment="1"/>
    <xf numFmtId="0" fontId="0" fillId="0" borderId="1" xfId="0" quotePrefix="1" applyBorder="1" applyAlignment="1"/>
    <xf numFmtId="0" fontId="0" fillId="0" borderId="5" xfId="0" applyBorder="1" applyAlignment="1"/>
    <xf numFmtId="0" fontId="0" fillId="2" borderId="1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4" borderId="1" xfId="0" applyFill="1" applyBorder="1" applyAlignment="1"/>
  </cellXfs>
  <cellStyles count="2">
    <cellStyle name="Normal" xfId="0" builtinId="0"/>
    <cellStyle name="Normal 2" xfId="1" xr:uid="{19FD3242-6AFA-441A-81AC-CA28D68248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Graficos!$B$7:$B$15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Graficos!$C$7:$C$15</c:f>
              <c:numCache>
                <c:formatCode>General</c:formatCode>
                <c:ptCount val="9"/>
                <c:pt idx="0">
                  <c:v>-21</c:v>
                </c:pt>
                <c:pt idx="1">
                  <c:v>-21.225540928492467</c:v>
                </c:pt>
                <c:pt idx="2">
                  <c:v>-16.953032424395115</c:v>
                </c:pt>
                <c:pt idx="3">
                  <c:v>-4.0231763806416048</c:v>
                </c:pt>
                <c:pt idx="4">
                  <c:v>19.467469802890648</c:v>
                </c:pt>
                <c:pt idx="5">
                  <c:v>50.401849966855764</c:v>
                </c:pt>
                <c:pt idx="6">
                  <c:v>74.489582481265032</c:v>
                </c:pt>
                <c:pt idx="7">
                  <c:v>52.573592573847236</c:v>
                </c:pt>
                <c:pt idx="8">
                  <c:v>-109.84503787208223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68-4844-B000-68B6C56DC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56239"/>
        <c:axId val="213853839"/>
      </c:scatterChart>
      <c:valAx>
        <c:axId val="21385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13853839"/>
        <c:crosses val="autoZero"/>
        <c:crossBetween val="midCat"/>
      </c:valAx>
      <c:valAx>
        <c:axId val="21385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1385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826334208223973E-2"/>
          <c:y val="7.6423519976669588E-2"/>
          <c:w val="0.9223958880139983"/>
          <c:h val="0.8981481481481481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Graficos!$B$24:$B$33</c:f>
              <c:numCache>
                <c:formatCode>General</c:formatCode>
                <c:ptCount val="10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</c:numCache>
            </c:numRef>
          </c:xVal>
          <c:yVal>
            <c:numRef>
              <c:f>Graficos!$C$24:$C$33</c:f>
              <c:numCache>
                <c:formatCode>General</c:formatCode>
                <c:ptCount val="10"/>
                <c:pt idx="0">
                  <c:v>0.47558704557631071</c:v>
                </c:pt>
                <c:pt idx="1">
                  <c:v>1.061723384187391</c:v>
                </c:pt>
                <c:pt idx="2">
                  <c:v>2</c:v>
                </c:pt>
                <c:pt idx="3">
                  <c:v>2.938276615812609</c:v>
                </c:pt>
                <c:pt idx="4">
                  <c:v>3.5244129544236893</c:v>
                </c:pt>
                <c:pt idx="5">
                  <c:v>3.4924849598121632</c:v>
                </c:pt>
                <c:pt idx="6">
                  <c:v>2.7278922804770449</c:v>
                </c:pt>
                <c:pt idx="7">
                  <c:v>1.2954164323118698</c:v>
                </c:pt>
                <c:pt idx="8">
                  <c:v>-0.57663997582039839</c:v>
                </c:pt>
                <c:pt idx="9">
                  <c:v>-2.5523496830688597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D6-46FA-A931-DF7A4EDE1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97871"/>
        <c:axId val="31498351"/>
      </c:scatterChart>
      <c:valAx>
        <c:axId val="3149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1498351"/>
        <c:crosses val="autoZero"/>
        <c:crossBetween val="midCat"/>
      </c:valAx>
      <c:valAx>
        <c:axId val="3149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149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Graficos!$B$44:$B$56</c:f>
              <c:numCache>
                <c:formatCode>General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3.5</c:v>
                </c:pt>
              </c:numCache>
            </c:numRef>
          </c:xVal>
          <c:yVal>
            <c:numRef>
              <c:f>Graficos!$C$44:$C$56</c:f>
              <c:numCache>
                <c:formatCode>General</c:formatCode>
                <c:ptCount val="13"/>
                <c:pt idx="0">
                  <c:v>-57.335201633042573</c:v>
                </c:pt>
                <c:pt idx="1">
                  <c:v>-28.939643484136511</c:v>
                </c:pt>
                <c:pt idx="2">
                  <c:v>-11.873127313836179</c:v>
                </c:pt>
                <c:pt idx="3">
                  <c:v>-2.6382500373785192</c:v>
                </c:pt>
                <c:pt idx="4">
                  <c:v>1.3512787292998718</c:v>
                </c:pt>
                <c:pt idx="5">
                  <c:v>2.0539936458280645</c:v>
                </c:pt>
                <c:pt idx="6">
                  <c:v>1</c:v>
                </c:pt>
                <c:pt idx="7">
                  <c:v>-0.56970019576785114</c:v>
                </c:pt>
                <c:pt idx="8">
                  <c:v>-1.6065306597126332</c:v>
                </c:pt>
                <c:pt idx="9">
                  <c:v>-1.1878247436672833</c:v>
                </c:pt>
                <c:pt idx="10">
                  <c:v>1.5284822353142307</c:v>
                </c:pt>
                <c:pt idx="11">
                  <c:v>7.3343450196238127</c:v>
                </c:pt>
                <c:pt idx="12">
                  <c:v>31.246269192732044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9-446E-851F-FEAD15471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045439"/>
        <c:axId val="220046399"/>
      </c:scatterChart>
      <c:valAx>
        <c:axId val="22004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20046399"/>
        <c:crosses val="autoZero"/>
        <c:crossBetween val="midCat"/>
      </c:valAx>
      <c:valAx>
        <c:axId val="22004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2004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Graficos!$B$66:$B$76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Graficos!$C$66:$C$76</c:f>
              <c:numCache>
                <c:formatCode>General</c:formatCode>
                <c:ptCount val="11"/>
                <c:pt idx="0">
                  <c:v>6</c:v>
                </c:pt>
                <c:pt idx="1">
                  <c:v>4.6169971779384271</c:v>
                </c:pt>
                <c:pt idx="2">
                  <c:v>3.351059389177685</c:v>
                </c:pt>
                <c:pt idx="3">
                  <c:v>2.2906804765897588</c:v>
                </c:pt>
                <c:pt idx="4">
                  <c:v>-1.212983862377401</c:v>
                </c:pt>
                <c:pt idx="5">
                  <c:v>-6.1237584403833871</c:v>
                </c:pt>
                <c:pt idx="6">
                  <c:v>-12.227015413872586</c:v>
                </c:pt>
                <c:pt idx="7">
                  <c:v>-23.013226084882863</c:v>
                </c:pt>
                <c:pt idx="8">
                  <c:v>-39.071535262728098</c:v>
                </c:pt>
                <c:pt idx="9">
                  <c:v>-61.128634407805706</c:v>
                </c:pt>
                <c:pt idx="10">
                  <c:v>-94.723643585031652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1-4B67-81A1-999086933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68431"/>
        <c:axId val="207466511"/>
      </c:scatterChart>
      <c:valAx>
        <c:axId val="20746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7466511"/>
        <c:crosses val="autoZero"/>
        <c:crossBetween val="midCat"/>
      </c:valAx>
      <c:valAx>
        <c:axId val="20746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7468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6.png"/><Relationship Id="rId7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343808</xdr:colOff>
      <xdr:row>15</xdr:row>
      <xdr:rowOff>171450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3958FD3C-D5FA-12EB-230F-6892CBA8C5EF}"/>
            </a:ext>
          </a:extLst>
        </xdr:cNvPr>
        <xdr:cNvSpPr>
          <a:spLocks noChangeAspect="1" noChangeArrowheads="1"/>
        </xdr:cNvSpPr>
      </xdr:nvSpPr>
      <xdr:spPr bwMode="auto">
        <a:xfrm>
          <a:off x="762000" y="762000"/>
          <a:ext cx="2266950" cy="226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680808</xdr:colOff>
      <xdr:row>15</xdr:row>
      <xdr:rowOff>24401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A8B0A9-1008-8B3A-1317-5952E8539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46657" cy="292051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19</xdr:row>
      <xdr:rowOff>142115</xdr:rowOff>
    </xdr:from>
    <xdr:to>
      <xdr:col>6</xdr:col>
      <xdr:colOff>366512</xdr:colOff>
      <xdr:row>22</xdr:row>
      <xdr:rowOff>118304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753543C-95A8-4556-B52E-3A1D9A0E54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924" b="52292"/>
        <a:stretch/>
      </xdr:blipFill>
      <xdr:spPr>
        <a:xfrm>
          <a:off x="1" y="3810527"/>
          <a:ext cx="5715000" cy="555412"/>
        </a:xfrm>
        <a:prstGeom prst="rect">
          <a:avLst/>
        </a:prstGeom>
      </xdr:spPr>
    </xdr:pic>
    <xdr:clientData/>
  </xdr:twoCellAnchor>
  <xdr:twoCellAnchor editAs="oneCell">
    <xdr:from>
      <xdr:col>2</xdr:col>
      <xdr:colOff>51552</xdr:colOff>
      <xdr:row>26</xdr:row>
      <xdr:rowOff>170141</xdr:rowOff>
    </xdr:from>
    <xdr:to>
      <xdr:col>2</xdr:col>
      <xdr:colOff>1058334</xdr:colOff>
      <xdr:row>28</xdr:row>
      <xdr:rowOff>5541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9151FAD-3447-0B47-F064-5FBEA6DC8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5552" y="5123141"/>
          <a:ext cx="1006782" cy="216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10</xdr:col>
      <xdr:colOff>547585</xdr:colOff>
      <xdr:row>33</xdr:row>
      <xdr:rowOff>5341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F979621-C15E-A85E-D5EA-B08C99557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22108" y="5757649"/>
          <a:ext cx="2829320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58</xdr:row>
      <xdr:rowOff>0</xdr:rowOff>
    </xdr:from>
    <xdr:to>
      <xdr:col>7</xdr:col>
      <xdr:colOff>308032</xdr:colOff>
      <xdr:row>60</xdr:row>
      <xdr:rowOff>106923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21529BE-9BDB-4F30-A681-97F09F336D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063" b="35103"/>
        <a:stretch/>
      </xdr:blipFill>
      <xdr:spPr>
        <a:xfrm>
          <a:off x="1" y="11049000"/>
          <a:ext cx="6635750" cy="487923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61</xdr:row>
      <xdr:rowOff>84667</xdr:rowOff>
    </xdr:from>
    <xdr:to>
      <xdr:col>3</xdr:col>
      <xdr:colOff>633219</xdr:colOff>
      <xdr:row>63</xdr:row>
      <xdr:rowOff>151404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8953205-7AF4-BF77-7EDD-699E62163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750" y="11705167"/>
          <a:ext cx="2400635" cy="447737"/>
        </a:xfrm>
        <a:prstGeom prst="rect">
          <a:avLst/>
        </a:prstGeom>
      </xdr:spPr>
    </xdr:pic>
    <xdr:clientData/>
  </xdr:twoCellAnchor>
  <xdr:twoCellAnchor editAs="oneCell">
    <xdr:from>
      <xdr:col>5</xdr:col>
      <xdr:colOff>31750</xdr:colOff>
      <xdr:row>61</xdr:row>
      <xdr:rowOff>1893</xdr:rowOff>
    </xdr:from>
    <xdr:to>
      <xdr:col>6</xdr:col>
      <xdr:colOff>94693</xdr:colOff>
      <xdr:row>61</xdr:row>
      <xdr:rowOff>189411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C6583B5-FC34-E647-1C5E-902837213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5750" y="12574893"/>
          <a:ext cx="1005417" cy="187518"/>
        </a:xfrm>
        <a:prstGeom prst="rect">
          <a:avLst/>
        </a:prstGeom>
      </xdr:spPr>
    </xdr:pic>
    <xdr:clientData/>
  </xdr:twoCellAnchor>
  <xdr:twoCellAnchor editAs="oneCell">
    <xdr:from>
      <xdr:col>0</xdr:col>
      <xdr:colOff>30079</xdr:colOff>
      <xdr:row>83</xdr:row>
      <xdr:rowOff>70184</xdr:rowOff>
    </xdr:from>
    <xdr:to>
      <xdr:col>8</xdr:col>
      <xdr:colOff>713873</xdr:colOff>
      <xdr:row>85</xdr:row>
      <xdr:rowOff>145364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72CA56C-6333-4912-BFBD-C3BA1F8BA8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880" b="17253"/>
        <a:stretch/>
      </xdr:blipFill>
      <xdr:spPr>
        <a:xfrm>
          <a:off x="30079" y="15881684"/>
          <a:ext cx="7772399" cy="456180"/>
        </a:xfrm>
        <a:prstGeom prst="rect">
          <a:avLst/>
        </a:prstGeom>
      </xdr:spPr>
    </xdr:pic>
    <xdr:clientData/>
  </xdr:twoCellAnchor>
  <xdr:twoCellAnchor editAs="oneCell">
    <xdr:from>
      <xdr:col>1</xdr:col>
      <xdr:colOff>170447</xdr:colOff>
      <xdr:row>87</xdr:row>
      <xdr:rowOff>0</xdr:rowOff>
    </xdr:from>
    <xdr:to>
      <xdr:col>3</xdr:col>
      <xdr:colOff>655556</xdr:colOff>
      <xdr:row>89</xdr:row>
      <xdr:rowOff>38158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ACDFD20-7B64-C315-96CB-660EDEFD9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2447" y="16573500"/>
          <a:ext cx="2410161" cy="419158"/>
        </a:xfrm>
        <a:prstGeom prst="rect">
          <a:avLst/>
        </a:prstGeom>
      </xdr:spPr>
    </xdr:pic>
    <xdr:clientData/>
  </xdr:twoCellAnchor>
  <xdr:twoCellAnchor editAs="oneCell">
    <xdr:from>
      <xdr:col>2</xdr:col>
      <xdr:colOff>30080</xdr:colOff>
      <xdr:row>91</xdr:row>
      <xdr:rowOff>0</xdr:rowOff>
    </xdr:from>
    <xdr:to>
      <xdr:col>3</xdr:col>
      <xdr:colOff>8858</xdr:colOff>
      <xdr:row>92</xdr:row>
      <xdr:rowOff>8079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1B220B5-AB2E-BD7D-3FB9-DC4D18B11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4080" y="17335500"/>
          <a:ext cx="1141830" cy="19857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140</xdr:row>
      <xdr:rowOff>0</xdr:rowOff>
    </xdr:from>
    <xdr:to>
      <xdr:col>6</xdr:col>
      <xdr:colOff>401054</xdr:colOff>
      <xdr:row>142</xdr:row>
      <xdr:rowOff>1537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163213C2-AEF0-459E-A1FA-6E81724C66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192"/>
        <a:stretch/>
      </xdr:blipFill>
      <xdr:spPr>
        <a:xfrm>
          <a:off x="1" y="26670000"/>
          <a:ext cx="5765132" cy="382537"/>
        </a:xfrm>
        <a:prstGeom prst="rect">
          <a:avLst/>
        </a:prstGeom>
      </xdr:spPr>
    </xdr:pic>
    <xdr:clientData/>
  </xdr:twoCellAnchor>
  <xdr:twoCellAnchor editAs="oneCell">
    <xdr:from>
      <xdr:col>0</xdr:col>
      <xdr:colOff>962527</xdr:colOff>
      <xdr:row>142</xdr:row>
      <xdr:rowOff>60158</xdr:rowOff>
    </xdr:from>
    <xdr:to>
      <xdr:col>3</xdr:col>
      <xdr:colOff>408399</xdr:colOff>
      <xdr:row>144</xdr:row>
      <xdr:rowOff>165001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DF4E635-E83E-DDC4-07F0-300B458FB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2527" y="27111158"/>
          <a:ext cx="2343477" cy="485843"/>
        </a:xfrm>
        <a:prstGeom prst="rect">
          <a:avLst/>
        </a:prstGeom>
      </xdr:spPr>
    </xdr:pic>
    <xdr:clientData/>
  </xdr:twoCellAnchor>
  <xdr:twoCellAnchor editAs="oneCell">
    <xdr:from>
      <xdr:col>2</xdr:col>
      <xdr:colOff>82216</xdr:colOff>
      <xdr:row>145</xdr:row>
      <xdr:rowOff>160421</xdr:rowOff>
    </xdr:from>
    <xdr:to>
      <xdr:col>2</xdr:col>
      <xdr:colOff>1129587</xdr:colOff>
      <xdr:row>146</xdr:row>
      <xdr:rowOff>187059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15205568-0830-424D-91BE-18559D48E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16769" y="27782921"/>
          <a:ext cx="1047371" cy="217138"/>
        </a:xfrm>
        <a:prstGeom prst="rect">
          <a:avLst/>
        </a:prstGeom>
      </xdr:spPr>
    </xdr:pic>
    <xdr:clientData/>
  </xdr:twoCellAnchor>
  <xdr:twoCellAnchor editAs="oneCell">
    <xdr:from>
      <xdr:col>1</xdr:col>
      <xdr:colOff>131762</xdr:colOff>
      <xdr:row>24</xdr:row>
      <xdr:rowOff>79904</xdr:rowOff>
    </xdr:from>
    <xdr:to>
      <xdr:col>2</xdr:col>
      <xdr:colOff>1032710</xdr:colOff>
      <xdr:row>26</xdr:row>
      <xdr:rowOff>56342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9DEBDE42-17A6-4E35-ADD0-233C57807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315" y="4651904"/>
          <a:ext cx="1662948" cy="357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149413</xdr:colOff>
      <xdr:row>15</xdr:row>
      <xdr:rowOff>24401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6FBC04-2F9A-461D-BC75-DC7B2524F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69413" cy="288190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19</xdr:row>
      <xdr:rowOff>142115</xdr:rowOff>
    </xdr:from>
    <xdr:to>
      <xdr:col>6</xdr:col>
      <xdr:colOff>395087</xdr:colOff>
      <xdr:row>22</xdr:row>
      <xdr:rowOff>118304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BA0CE6-87DA-470E-81A9-6D8DB6C4F5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924" b="52292"/>
        <a:stretch/>
      </xdr:blipFill>
      <xdr:spPr>
        <a:xfrm>
          <a:off x="1" y="3761615"/>
          <a:ext cx="5729086" cy="547689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22</xdr:row>
      <xdr:rowOff>114300</xdr:rowOff>
    </xdr:from>
    <xdr:to>
      <xdr:col>3</xdr:col>
      <xdr:colOff>729498</xdr:colOff>
      <xdr:row>24</xdr:row>
      <xdr:rowOff>90738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45F62B-20B9-402F-A7B8-23E01E7DE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0" y="4305300"/>
          <a:ext cx="1662948" cy="35743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34</xdr:row>
      <xdr:rowOff>0</xdr:rowOff>
    </xdr:from>
    <xdr:to>
      <xdr:col>7</xdr:col>
      <xdr:colOff>536632</xdr:colOff>
      <xdr:row>36</xdr:row>
      <xdr:rowOff>106923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60B2A58-94CF-462F-B3BD-89F3A84C62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063" b="35103"/>
        <a:stretch/>
      </xdr:blipFill>
      <xdr:spPr>
        <a:xfrm>
          <a:off x="1" y="11049000"/>
          <a:ext cx="6632631" cy="487923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158750</xdr:colOff>
      <xdr:row>37</xdr:row>
      <xdr:rowOff>84667</xdr:rowOff>
    </xdr:from>
    <xdr:to>
      <xdr:col>3</xdr:col>
      <xdr:colOff>1033269</xdr:colOff>
      <xdr:row>39</xdr:row>
      <xdr:rowOff>151404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6E4A3E8-9A3D-412A-8ACC-57B5F869F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0300" y="11705167"/>
          <a:ext cx="2398519" cy="447737"/>
        </a:xfrm>
        <a:prstGeom prst="rect">
          <a:avLst/>
        </a:prstGeom>
      </xdr:spPr>
    </xdr:pic>
    <xdr:clientData/>
  </xdr:twoCellAnchor>
  <xdr:twoCellAnchor editAs="oneCell">
    <xdr:from>
      <xdr:col>0</xdr:col>
      <xdr:colOff>30079</xdr:colOff>
      <xdr:row>48</xdr:row>
      <xdr:rowOff>70184</xdr:rowOff>
    </xdr:from>
    <xdr:to>
      <xdr:col>9</xdr:col>
      <xdr:colOff>180473</xdr:colOff>
      <xdr:row>50</xdr:row>
      <xdr:rowOff>145364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4BF589A-7DED-49D6-966F-E666C1D820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880" b="17253"/>
        <a:stretch/>
      </xdr:blipFill>
      <xdr:spPr>
        <a:xfrm>
          <a:off x="30079" y="15881684"/>
          <a:ext cx="7770394" cy="456180"/>
        </a:xfrm>
        <a:prstGeom prst="rect">
          <a:avLst/>
        </a:prstGeom>
      </xdr:spPr>
    </xdr:pic>
    <xdr:clientData/>
  </xdr:twoCellAnchor>
  <xdr:twoCellAnchor editAs="oneCell">
    <xdr:from>
      <xdr:col>1</xdr:col>
      <xdr:colOff>170447</xdr:colOff>
      <xdr:row>52</xdr:row>
      <xdr:rowOff>0</xdr:rowOff>
    </xdr:from>
    <xdr:to>
      <xdr:col>3</xdr:col>
      <xdr:colOff>1055606</xdr:colOff>
      <xdr:row>54</xdr:row>
      <xdr:rowOff>38158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885AC99-8BAA-44E1-A2E2-3CA7B7F4E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1997" y="16573500"/>
          <a:ext cx="2409159" cy="41915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83</xdr:row>
      <xdr:rowOff>0</xdr:rowOff>
    </xdr:from>
    <xdr:to>
      <xdr:col>6</xdr:col>
      <xdr:colOff>429629</xdr:colOff>
      <xdr:row>85</xdr:row>
      <xdr:rowOff>1537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A42683F-A44C-496E-84EC-F715C2693D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192"/>
        <a:stretch/>
      </xdr:blipFill>
      <xdr:spPr>
        <a:xfrm>
          <a:off x="1" y="26670000"/>
          <a:ext cx="5763628" cy="382537"/>
        </a:xfrm>
        <a:prstGeom prst="rect">
          <a:avLst/>
        </a:prstGeom>
      </xdr:spPr>
    </xdr:pic>
    <xdr:clientData/>
  </xdr:twoCellAnchor>
  <xdr:twoCellAnchor editAs="oneCell">
    <xdr:from>
      <xdr:col>0</xdr:col>
      <xdr:colOff>962527</xdr:colOff>
      <xdr:row>85</xdr:row>
      <xdr:rowOff>60158</xdr:rowOff>
    </xdr:from>
    <xdr:to>
      <xdr:col>3</xdr:col>
      <xdr:colOff>817974</xdr:colOff>
      <xdr:row>87</xdr:row>
      <xdr:rowOff>165001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474E2D4-B397-496D-A9AC-4D98B2B78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2527" y="27111158"/>
          <a:ext cx="2341472" cy="485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343808</xdr:colOff>
      <xdr:row>15</xdr:row>
      <xdr:rowOff>171450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19779E5A-9ED1-4E4F-8771-A522EAEE35E9}"/>
            </a:ext>
          </a:extLst>
        </xdr:cNvPr>
        <xdr:cNvSpPr>
          <a:spLocks noChangeAspect="1" noChangeArrowheads="1"/>
        </xdr:cNvSpPr>
      </xdr:nvSpPr>
      <xdr:spPr bwMode="auto">
        <a:xfrm>
          <a:off x="971550" y="762000"/>
          <a:ext cx="2267858" cy="226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680808</xdr:colOff>
      <xdr:row>15</xdr:row>
      <xdr:rowOff>24401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E65378-9AF2-4269-A70B-90A706C49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67408" cy="288190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19</xdr:row>
      <xdr:rowOff>142115</xdr:rowOff>
    </xdr:from>
    <xdr:to>
      <xdr:col>6</xdr:col>
      <xdr:colOff>366512</xdr:colOff>
      <xdr:row>22</xdr:row>
      <xdr:rowOff>118304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1CE36FE-EB96-4483-B0D1-2E2432B30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924" b="52292"/>
        <a:stretch/>
      </xdr:blipFill>
      <xdr:spPr>
        <a:xfrm>
          <a:off x="1" y="3761615"/>
          <a:ext cx="5729086" cy="547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85725</xdr:rowOff>
    </xdr:from>
    <xdr:to>
      <xdr:col>7</xdr:col>
      <xdr:colOff>308031</xdr:colOff>
      <xdr:row>60</xdr:row>
      <xdr:rowOff>2148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1CCA2C1-19CA-487A-B7B9-83062BB00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063" b="35103"/>
        <a:stretch/>
      </xdr:blipFill>
      <xdr:spPr>
        <a:xfrm>
          <a:off x="0" y="10944225"/>
          <a:ext cx="6632631" cy="487923"/>
        </a:xfrm>
        <a:prstGeom prst="rect">
          <a:avLst/>
        </a:prstGeom>
      </xdr:spPr>
    </xdr:pic>
    <xdr:clientData/>
  </xdr:twoCellAnchor>
  <xdr:twoCellAnchor editAs="oneCell">
    <xdr:from>
      <xdr:col>1</xdr:col>
      <xdr:colOff>15875</xdr:colOff>
      <xdr:row>60</xdr:row>
      <xdr:rowOff>122767</xdr:rowOff>
    </xdr:from>
    <xdr:to>
      <xdr:col>3</xdr:col>
      <xdr:colOff>490344</xdr:colOff>
      <xdr:row>62</xdr:row>
      <xdr:rowOff>189504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E1D90E7-1C9C-4B8C-ACD9-59A271855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7425" y="11552767"/>
          <a:ext cx="2398519" cy="447737"/>
        </a:xfrm>
        <a:prstGeom prst="rect">
          <a:avLst/>
        </a:prstGeom>
      </xdr:spPr>
    </xdr:pic>
    <xdr:clientData/>
  </xdr:twoCellAnchor>
  <xdr:twoCellAnchor editAs="oneCell">
    <xdr:from>
      <xdr:col>0</xdr:col>
      <xdr:colOff>30079</xdr:colOff>
      <xdr:row>83</xdr:row>
      <xdr:rowOff>70184</xdr:rowOff>
    </xdr:from>
    <xdr:to>
      <xdr:col>8</xdr:col>
      <xdr:colOff>713873</xdr:colOff>
      <xdr:row>85</xdr:row>
      <xdr:rowOff>145364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F4C5E16-1268-4A97-A986-926E32AFDE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880" b="17253"/>
        <a:stretch/>
      </xdr:blipFill>
      <xdr:spPr>
        <a:xfrm>
          <a:off x="30079" y="15881684"/>
          <a:ext cx="7770394" cy="456180"/>
        </a:xfrm>
        <a:prstGeom prst="rect">
          <a:avLst/>
        </a:prstGeom>
      </xdr:spPr>
    </xdr:pic>
    <xdr:clientData/>
  </xdr:twoCellAnchor>
  <xdr:twoCellAnchor editAs="oneCell">
    <xdr:from>
      <xdr:col>2</xdr:col>
      <xdr:colOff>37097</xdr:colOff>
      <xdr:row>86</xdr:row>
      <xdr:rowOff>76200</xdr:rowOff>
    </xdr:from>
    <xdr:to>
      <xdr:col>4</xdr:col>
      <xdr:colOff>522206</xdr:colOff>
      <xdr:row>88</xdr:row>
      <xdr:rowOff>114358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626FF97-B2B9-432B-9F2A-CD2F2837C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0647" y="16459200"/>
          <a:ext cx="2409159" cy="419158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144</xdr:row>
      <xdr:rowOff>0</xdr:rowOff>
    </xdr:from>
    <xdr:to>
      <xdr:col>6</xdr:col>
      <xdr:colOff>401054</xdr:colOff>
      <xdr:row>146</xdr:row>
      <xdr:rowOff>1537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170DE5D-0970-4417-AAAB-83239A8F6B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192"/>
        <a:stretch/>
      </xdr:blipFill>
      <xdr:spPr>
        <a:xfrm>
          <a:off x="1" y="26670000"/>
          <a:ext cx="5763628" cy="382537"/>
        </a:xfrm>
        <a:prstGeom prst="rect">
          <a:avLst/>
        </a:prstGeom>
      </xdr:spPr>
    </xdr:pic>
    <xdr:clientData/>
  </xdr:twoCellAnchor>
  <xdr:twoCellAnchor editAs="oneCell">
    <xdr:from>
      <xdr:col>0</xdr:col>
      <xdr:colOff>962527</xdr:colOff>
      <xdr:row>146</xdr:row>
      <xdr:rowOff>60158</xdr:rowOff>
    </xdr:from>
    <xdr:to>
      <xdr:col>3</xdr:col>
      <xdr:colOff>408399</xdr:colOff>
      <xdr:row>148</xdr:row>
      <xdr:rowOff>165001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0CB74E5-62D2-4C9C-A858-F41B4CB85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527" y="27111158"/>
          <a:ext cx="2341472" cy="485843"/>
        </a:xfrm>
        <a:prstGeom prst="rect">
          <a:avLst/>
        </a:prstGeom>
      </xdr:spPr>
    </xdr:pic>
    <xdr:clientData/>
  </xdr:twoCellAnchor>
  <xdr:twoCellAnchor editAs="oneCell">
    <xdr:from>
      <xdr:col>2</xdr:col>
      <xdr:colOff>617537</xdr:colOff>
      <xdr:row>22</xdr:row>
      <xdr:rowOff>118004</xdr:rowOff>
    </xdr:from>
    <xdr:to>
      <xdr:col>4</xdr:col>
      <xdr:colOff>356435</xdr:colOff>
      <xdr:row>24</xdr:row>
      <xdr:rowOff>94442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FE5D141-06FA-45D9-B02F-8608423BC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51087" y="4309004"/>
          <a:ext cx="1662948" cy="3574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2</xdr:row>
      <xdr:rowOff>80962</xdr:rowOff>
    </xdr:from>
    <xdr:to>
      <xdr:col>10</xdr:col>
      <xdr:colOff>266700</xdr:colOff>
      <xdr:row>16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90D909-AB63-1228-7306-F10C2CA32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18</xdr:row>
      <xdr:rowOff>176212</xdr:rowOff>
    </xdr:from>
    <xdr:to>
      <xdr:col>10</xdr:col>
      <xdr:colOff>76200</xdr:colOff>
      <xdr:row>33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1C9B5FB-B5E9-DB39-B05D-35D985DEA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647700</xdr:colOff>
      <xdr:row>60</xdr:row>
      <xdr:rowOff>28575</xdr:rowOff>
    </xdr:from>
    <xdr:to>
      <xdr:col>3</xdr:col>
      <xdr:colOff>705177</xdr:colOff>
      <xdr:row>62</xdr:row>
      <xdr:rowOff>133418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F09420D-5C7C-4C0E-822A-34E4A0525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11458575"/>
          <a:ext cx="2343477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4</xdr:col>
      <xdr:colOff>124161</xdr:colOff>
      <xdr:row>40</xdr:row>
      <xdr:rowOff>38158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F848D88-4B83-4CD9-87CC-A22AC0A40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7239000"/>
          <a:ext cx="2410161" cy="419158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19</xdr:row>
      <xdr:rowOff>47625</xdr:rowOff>
    </xdr:from>
    <xdr:to>
      <xdr:col>3</xdr:col>
      <xdr:colOff>713596</xdr:colOff>
      <xdr:row>21</xdr:row>
      <xdr:rowOff>114362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0B35272-F44F-4B5A-AB7E-27021E729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0075" y="3667125"/>
          <a:ext cx="2399521" cy="447737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733425</xdr:colOff>
      <xdr:row>2</xdr:row>
      <xdr:rowOff>76200</xdr:rowOff>
    </xdr:from>
    <xdr:to>
      <xdr:col>3</xdr:col>
      <xdr:colOff>110373</xdr:colOff>
      <xdr:row>4</xdr:row>
      <xdr:rowOff>52638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2AE0C67-1316-477F-BE40-ED2BB5C62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3425" y="457200"/>
          <a:ext cx="1662948" cy="357438"/>
        </a:xfrm>
        <a:prstGeom prst="rect">
          <a:avLst/>
        </a:prstGeom>
      </xdr:spPr>
    </xdr:pic>
    <xdr:clientData/>
  </xdr:twoCellAnchor>
  <xdr:twoCellAnchor>
    <xdr:from>
      <xdr:col>5</xdr:col>
      <xdr:colOff>304800</xdr:colOff>
      <xdr:row>41</xdr:row>
      <xdr:rowOff>52387</xdr:rowOff>
    </xdr:from>
    <xdr:to>
      <xdr:col>11</xdr:col>
      <xdr:colOff>304800</xdr:colOff>
      <xdr:row>55</xdr:row>
      <xdr:rowOff>128587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FA7886B-C673-665E-CDB5-F6CF9633D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304800</xdr:colOff>
      <xdr:row>61</xdr:row>
      <xdr:rowOff>109537</xdr:rowOff>
    </xdr:from>
    <xdr:to>
      <xdr:col>11</xdr:col>
      <xdr:colOff>304800</xdr:colOff>
      <xdr:row>75</xdr:row>
      <xdr:rowOff>185737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3E63DB3-E92C-5CC8-BED0-57C57D75D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1623-B446-495F-BDE3-5A4DF4628454}">
  <dimension ref="A19:L166"/>
  <sheetViews>
    <sheetView topLeftCell="A16" zoomScale="95" zoomScaleNormal="130" workbookViewId="0">
      <selection activeCell="D19" sqref="D19"/>
    </sheetView>
  </sheetViews>
  <sheetFormatPr baseColWidth="10" defaultRowHeight="15" x14ac:dyDescent="0.25"/>
  <cols>
    <col min="1" max="1" width="14.5703125" customWidth="1"/>
    <col min="3" max="3" width="17.42578125" customWidth="1"/>
    <col min="6" max="6" width="14.140625" customWidth="1"/>
    <col min="7" max="7" width="14.42578125" customWidth="1"/>
  </cols>
  <sheetData>
    <row r="19" spans="1:8" x14ac:dyDescent="0.25">
      <c r="A19" t="s">
        <v>4</v>
      </c>
    </row>
    <row r="24" spans="1:8" x14ac:dyDescent="0.25">
      <c r="A24" t="s">
        <v>6</v>
      </c>
    </row>
    <row r="28" spans="1:8" x14ac:dyDescent="0.25">
      <c r="B28" s="4" t="s">
        <v>5</v>
      </c>
      <c r="C28" s="4"/>
    </row>
    <row r="29" spans="1:8" x14ac:dyDescent="0.25">
      <c r="B29" s="1">
        <v>0</v>
      </c>
      <c r="C29" s="1">
        <f>(B29^3)-EXP(0.8*B29)-20</f>
        <v>-21</v>
      </c>
      <c r="E29" t="s">
        <v>7</v>
      </c>
    </row>
    <row r="30" spans="1:8" x14ac:dyDescent="0.25">
      <c r="B30" s="1">
        <v>4</v>
      </c>
      <c r="C30" s="1">
        <f t="shared" ref="C30:C32" si="0">(B30^3)-EXP(0.8*B30)-20</f>
        <v>19.467469802890648</v>
      </c>
      <c r="H30" t="s">
        <v>12</v>
      </c>
    </row>
    <row r="31" spans="1:8" x14ac:dyDescent="0.25">
      <c r="B31" s="1">
        <v>6</v>
      </c>
      <c r="C31" s="1">
        <f t="shared" si="0"/>
        <v>74.489582481265032</v>
      </c>
      <c r="E31" t="s">
        <v>8</v>
      </c>
    </row>
    <row r="32" spans="1:8" x14ac:dyDescent="0.25">
      <c r="B32" s="1">
        <v>8</v>
      </c>
      <c r="C32" s="1">
        <f t="shared" si="0"/>
        <v>-109.84503787208223</v>
      </c>
    </row>
    <row r="33" spans="1:12" x14ac:dyDescent="0.25">
      <c r="A33" t="s">
        <v>9</v>
      </c>
    </row>
    <row r="34" spans="1:12" x14ac:dyDescent="0.25">
      <c r="A34" s="3" t="s">
        <v>10</v>
      </c>
      <c r="B34" s="3" t="s">
        <v>13</v>
      </c>
      <c r="C34" s="3" t="s">
        <v>14</v>
      </c>
      <c r="D34" s="3" t="s">
        <v>1</v>
      </c>
      <c r="E34" s="3" t="s">
        <v>2</v>
      </c>
      <c r="F34" s="3" t="s">
        <v>3</v>
      </c>
      <c r="G34" s="3" t="s">
        <v>11</v>
      </c>
    </row>
    <row r="35" spans="1:12" x14ac:dyDescent="0.25">
      <c r="A35" s="1">
        <v>0</v>
      </c>
      <c r="B35" s="1">
        <v>0</v>
      </c>
      <c r="C35" s="1">
        <v>4</v>
      </c>
      <c r="D35" s="1">
        <f>(B35^3)-EXP(0.8*B35)-20</f>
        <v>-21</v>
      </c>
      <c r="E35" s="1">
        <f>(C35^3)-EXP(0.8*C35)-20</f>
        <v>19.467469802890648</v>
      </c>
      <c r="F35" s="1">
        <f>C35-(E35*((C35-B35)/(E35-D35)))</f>
        <v>2.0757413401220299</v>
      </c>
      <c r="G35" s="1"/>
    </row>
    <row r="36" spans="1:12" x14ac:dyDescent="0.25">
      <c r="A36" s="1">
        <v>1</v>
      </c>
      <c r="B36" s="1">
        <f>C35</f>
        <v>4</v>
      </c>
      <c r="C36" s="1">
        <f>F35</f>
        <v>2.0757413401220299</v>
      </c>
      <c r="D36" s="1">
        <f>(B36^3)-EXP(0.8*B36)-20</f>
        <v>19.467469802890648</v>
      </c>
      <c r="E36" s="1">
        <f>(C36^3)-EXP(0.8*C36)-20</f>
        <v>-16.318679825821022</v>
      </c>
      <c r="F36" s="1">
        <f>C36-(E36*((C36-B36)/(E36-D36)))</f>
        <v>2.9532138063808286</v>
      </c>
      <c r="G36" s="1">
        <f>ABS((F36-F35)/F36)*100</f>
        <v>29.7124598416443</v>
      </c>
    </row>
    <row r="37" spans="1:12" x14ac:dyDescent="0.25">
      <c r="A37" s="1">
        <v>2</v>
      </c>
      <c r="B37" s="1">
        <f t="shared" ref="B37:B42" si="1">C36</f>
        <v>2.0757413401220299</v>
      </c>
      <c r="C37" s="1">
        <f t="shared" ref="C37:C39" si="2">F36</f>
        <v>2.9532138063808286</v>
      </c>
      <c r="D37" s="1">
        <f t="shared" ref="D37:D39" si="3">(B37^3)-EXP(0.8*B37)-20</f>
        <v>-16.318679825821022</v>
      </c>
      <c r="E37" s="1">
        <f t="shared" ref="E37:E39" si="4">(C37^3)-EXP(0.8*C37)-20</f>
        <v>-4.8618454099160253</v>
      </c>
      <c r="F37" s="1">
        <f t="shared" ref="F37:F39" si="5">C37-(E37*((C37-B37)/(E37-D37)))</f>
        <v>3.3255797957579252</v>
      </c>
      <c r="G37" s="1">
        <f t="shared" ref="G37:G42" si="6">ABS((F37-F36)/F37)*100</f>
        <v>11.197024646712213</v>
      </c>
      <c r="I37" t="s">
        <v>15</v>
      </c>
      <c r="K37" s="30" t="s">
        <v>33</v>
      </c>
      <c r="L37" s="30"/>
    </row>
    <row r="38" spans="1:12" x14ac:dyDescent="0.25">
      <c r="A38" s="1">
        <v>3</v>
      </c>
      <c r="B38" s="1">
        <f t="shared" si="1"/>
        <v>2.9532138063808286</v>
      </c>
      <c r="C38" s="1">
        <f t="shared" si="2"/>
        <v>3.3255797957579252</v>
      </c>
      <c r="D38" s="1">
        <f t="shared" si="3"/>
        <v>-4.8618454099160253</v>
      </c>
      <c r="E38" s="1">
        <f t="shared" si="4"/>
        <v>2.4762647128332205</v>
      </c>
      <c r="F38" s="1">
        <f t="shared" si="5"/>
        <v>3.1999239055723638</v>
      </c>
      <c r="G38" s="1">
        <f t="shared" si="6"/>
        <v>3.926839946623216</v>
      </c>
      <c r="K38" s="30" t="s">
        <v>35</v>
      </c>
      <c r="L38" s="30"/>
    </row>
    <row r="39" spans="1:12" x14ac:dyDescent="0.25">
      <c r="A39" s="1">
        <v>4</v>
      </c>
      <c r="B39" s="1">
        <f t="shared" si="1"/>
        <v>3.3255797957579252</v>
      </c>
      <c r="C39" s="1">
        <f t="shared" si="2"/>
        <v>3.1999239055723638</v>
      </c>
      <c r="D39" s="1">
        <f t="shared" si="3"/>
        <v>2.4762647128332205</v>
      </c>
      <c r="E39" s="1">
        <f t="shared" si="4"/>
        <v>-0.16936742984981379</v>
      </c>
      <c r="F39" s="1">
        <f t="shared" si="5"/>
        <v>3.2079681135417437</v>
      </c>
      <c r="G39" s="1">
        <f t="shared" si="6"/>
        <v>0.25075710495447245</v>
      </c>
      <c r="K39" s="30" t="s">
        <v>34</v>
      </c>
      <c r="L39" s="30"/>
    </row>
    <row r="40" spans="1:12" x14ac:dyDescent="0.25">
      <c r="A40" s="1">
        <v>5</v>
      </c>
      <c r="B40" s="1">
        <f>C39</f>
        <v>3.1999239055723638</v>
      </c>
      <c r="C40" s="1">
        <f>F39</f>
        <v>3.2079681135417437</v>
      </c>
      <c r="D40" s="1">
        <f>(B40^3)-EXP(0.8*B40)-20</f>
        <v>-0.16936742984981379</v>
      </c>
      <c r="E40" s="1">
        <f>(C40^3)-EXP(0.8*C40)-20</f>
        <v>-5.1494757357275489E-3</v>
      </c>
      <c r="F40" s="1">
        <f>C40-(E40*((C40-B40)/(E40-D40)))</f>
        <v>3.2082203603437147</v>
      </c>
      <c r="G40" s="1">
        <f>ABS((F40-F39)/F40)*100</f>
        <v>7.8625148412179678E-3</v>
      </c>
    </row>
    <row r="41" spans="1:12" x14ac:dyDescent="0.25">
      <c r="A41" s="2">
        <v>6</v>
      </c>
      <c r="B41" s="2">
        <f t="shared" si="1"/>
        <v>3.2079681135417437</v>
      </c>
      <c r="C41" s="2">
        <f t="shared" ref="C41:C42" si="7">F40</f>
        <v>3.2082203603437147</v>
      </c>
      <c r="D41" s="2">
        <f t="shared" ref="D41:D42" si="8">(B41^3)-EXP(0.8*B41)-20</f>
        <v>-5.1494757357275489E-3</v>
      </c>
      <c r="E41" s="2">
        <f t="shared" ref="E41:E42" si="9">(C41^3)-EXP(0.8*C41)-20</f>
        <v>1.1423972345880884E-5</v>
      </c>
      <c r="F41" s="6">
        <f t="shared" ref="F41:F42" si="10">C41-(E41*((C41-B41)/(E41-D41)))</f>
        <v>3.208219801979737</v>
      </c>
      <c r="G41" s="2">
        <f t="shared" si="6"/>
        <v>1.7404168423127731E-5</v>
      </c>
    </row>
    <row r="42" spans="1:12" x14ac:dyDescent="0.25">
      <c r="A42" s="1">
        <v>7</v>
      </c>
      <c r="B42" s="1">
        <f t="shared" si="1"/>
        <v>3.2082203603437147</v>
      </c>
      <c r="C42" s="1">
        <f t="shared" si="7"/>
        <v>3.208219801979737</v>
      </c>
      <c r="D42" s="1">
        <f t="shared" si="8"/>
        <v>1.1423972345880884E-5</v>
      </c>
      <c r="E42" s="1">
        <f t="shared" si="9"/>
        <v>-7.6701667239831295E-10</v>
      </c>
      <c r="F42" s="1">
        <f t="shared" si="10"/>
        <v>3.2082198020172235</v>
      </c>
      <c r="G42" s="1">
        <f t="shared" si="6"/>
        <v>1.1684504396579446E-9</v>
      </c>
    </row>
    <row r="44" spans="1:12" x14ac:dyDescent="0.25">
      <c r="A44" t="s">
        <v>16</v>
      </c>
    </row>
    <row r="46" spans="1:12" x14ac:dyDescent="0.25">
      <c r="A46" s="3" t="s">
        <v>10</v>
      </c>
      <c r="B46" s="3" t="s">
        <v>13</v>
      </c>
      <c r="C46" s="3" t="s">
        <v>14</v>
      </c>
      <c r="D46" s="3" t="s">
        <v>1</v>
      </c>
      <c r="E46" s="3" t="s">
        <v>2</v>
      </c>
      <c r="F46" s="3" t="s">
        <v>3</v>
      </c>
      <c r="G46" s="3" t="s">
        <v>11</v>
      </c>
    </row>
    <row r="47" spans="1:12" x14ac:dyDescent="0.25">
      <c r="A47" s="1">
        <v>0</v>
      </c>
      <c r="B47" s="1">
        <v>6</v>
      </c>
      <c r="C47" s="1">
        <v>8</v>
      </c>
      <c r="D47" s="1">
        <f>(B47^3)-EXP(0.8*B47)-20</f>
        <v>74.489582481265032</v>
      </c>
      <c r="E47" s="1">
        <f>(C47^3)-EXP(0.8*C47)-20</f>
        <v>-109.84503787208223</v>
      </c>
      <c r="F47" s="1">
        <f>C47-(E47*((C47-B47)/(E47-D47)))</f>
        <v>6.8081995920080285</v>
      </c>
      <c r="G47" s="1"/>
    </row>
    <row r="48" spans="1:12" x14ac:dyDescent="0.25">
      <c r="A48" s="1">
        <v>1</v>
      </c>
      <c r="B48" s="1">
        <f>C47</f>
        <v>8</v>
      </c>
      <c r="C48" s="1">
        <f>F47</f>
        <v>6.8081995920080285</v>
      </c>
      <c r="D48" s="1">
        <f>(B48^3)-EXP(0.8*B48)-20</f>
        <v>-109.84503787208223</v>
      </c>
      <c r="E48" s="1">
        <f>(C48^3)-EXP(0.8*C48)-20</f>
        <v>63.612041801370168</v>
      </c>
      <c r="F48" s="1">
        <f>C48-(E48*((C48-B48)/(E48-D48)))</f>
        <v>7.245269428043545</v>
      </c>
      <c r="G48" s="1">
        <f>ABS((F48-F47)/F48)*100</f>
        <v>6.0324856152870403</v>
      </c>
    </row>
    <row r="49" spans="1:9" x14ac:dyDescent="0.25">
      <c r="A49" s="1">
        <v>2</v>
      </c>
      <c r="B49" s="1">
        <f t="shared" ref="B49:B54" si="11">C48</f>
        <v>6.8081995920080285</v>
      </c>
      <c r="C49" s="1">
        <f t="shared" ref="C49:C54" si="12">F48</f>
        <v>7.245269428043545</v>
      </c>
      <c r="D49" s="1">
        <f t="shared" ref="D49:D54" si="13">(B49^3)-EXP(0.8*B49)-20</f>
        <v>63.612041801370168</v>
      </c>
      <c r="E49" s="1">
        <f t="shared" ref="E49:E54" si="14">(C49^3)-EXP(0.8*C49)-20</f>
        <v>31.280742001794238</v>
      </c>
      <c r="F49" s="1">
        <f t="shared" ref="F49:F54" si="15">C49-(E49*((C49-B49)/(E49-D49)))</f>
        <v>7.6681373257942198</v>
      </c>
      <c r="G49" s="1">
        <f t="shared" ref="G49:G54" si="16">ABS((F49-F48)/F49)*100</f>
        <v>5.5146103908210415</v>
      </c>
    </row>
    <row r="50" spans="1:9" x14ac:dyDescent="0.25">
      <c r="A50" s="1">
        <v>3</v>
      </c>
      <c r="B50" s="1">
        <f t="shared" si="11"/>
        <v>7.245269428043545</v>
      </c>
      <c r="C50" s="1">
        <f t="shared" si="12"/>
        <v>7.6681373257942198</v>
      </c>
      <c r="D50" s="1">
        <f t="shared" si="13"/>
        <v>31.280742001794238</v>
      </c>
      <c r="E50" s="1">
        <f t="shared" si="14"/>
        <v>-30.623827362745601</v>
      </c>
      <c r="F50" s="1">
        <f t="shared" si="15"/>
        <v>7.4589470571129919</v>
      </c>
      <c r="G50" s="1">
        <f t="shared" si="16"/>
        <v>2.8045549469578304</v>
      </c>
    </row>
    <row r="51" spans="1:9" x14ac:dyDescent="0.25">
      <c r="A51" s="1">
        <v>4</v>
      </c>
      <c r="B51" s="1">
        <f t="shared" si="11"/>
        <v>7.6681373257942198</v>
      </c>
      <c r="C51" s="1">
        <f t="shared" si="12"/>
        <v>7.4589470571129919</v>
      </c>
      <c r="D51" s="1">
        <f t="shared" si="13"/>
        <v>-30.623827362745601</v>
      </c>
      <c r="E51" s="1">
        <f t="shared" si="14"/>
        <v>4.5907140372367508</v>
      </c>
      <c r="F51" s="1">
        <f t="shared" si="15"/>
        <v>7.4862179703411487</v>
      </c>
      <c r="G51" s="1">
        <f t="shared" si="16"/>
        <v>0.36428158165042096</v>
      </c>
    </row>
    <row r="52" spans="1:9" x14ac:dyDescent="0.25">
      <c r="A52" s="1">
        <v>5</v>
      </c>
      <c r="B52" s="1">
        <f t="shared" si="11"/>
        <v>7.4589470571129919</v>
      </c>
      <c r="C52" s="1">
        <f t="shared" si="12"/>
        <v>7.4862179703411487</v>
      </c>
      <c r="D52" s="1">
        <f t="shared" si="13"/>
        <v>4.5907140372367508</v>
      </c>
      <c r="E52" s="1">
        <f t="shared" si="14"/>
        <v>0.54838279758990893</v>
      </c>
      <c r="F52" s="1">
        <f t="shared" si="15"/>
        <v>7.4899175433850917</v>
      </c>
      <c r="G52" s="1">
        <f t="shared" si="16"/>
        <v>4.9394042357788749E-2</v>
      </c>
    </row>
    <row r="53" spans="1:9" x14ac:dyDescent="0.25">
      <c r="A53" s="9">
        <v>6</v>
      </c>
      <c r="B53" s="9">
        <f t="shared" si="11"/>
        <v>7.4862179703411487</v>
      </c>
      <c r="C53" s="9">
        <f t="shared" si="12"/>
        <v>7.4899175433850917</v>
      </c>
      <c r="D53" s="9">
        <f t="shared" si="13"/>
        <v>0.54838279758990893</v>
      </c>
      <c r="E53" s="9">
        <f t="shared" si="14"/>
        <v>-1.1967450908571209E-2</v>
      </c>
      <c r="F53" s="9">
        <f t="shared" si="15"/>
        <v>7.4898385312691786</v>
      </c>
      <c r="G53" s="9">
        <f t="shared" si="16"/>
        <v>1.0549241560179935E-3</v>
      </c>
    </row>
    <row r="54" spans="1:9" x14ac:dyDescent="0.25">
      <c r="A54" s="10">
        <v>7</v>
      </c>
      <c r="B54" s="10">
        <f t="shared" si="11"/>
        <v>7.4899175433850917</v>
      </c>
      <c r="C54" s="10">
        <f t="shared" si="12"/>
        <v>7.4898385312691786</v>
      </c>
      <c r="D54" s="10">
        <f t="shared" si="13"/>
        <v>-1.1967450908571209E-2</v>
      </c>
      <c r="E54" s="10">
        <f t="shared" si="14"/>
        <v>3.0170235731930006E-5</v>
      </c>
      <c r="F54" s="11">
        <f t="shared" si="15"/>
        <v>7.4898387299597466</v>
      </c>
      <c r="G54" s="10">
        <f t="shared" si="16"/>
        <v>2.6528016845504334E-6</v>
      </c>
      <c r="I54" t="s">
        <v>15</v>
      </c>
    </row>
    <row r="55" spans="1:9" x14ac:dyDescent="0.25">
      <c r="A55" s="5"/>
      <c r="B55" s="5"/>
      <c r="C55" s="5"/>
      <c r="D55" s="5"/>
      <c r="E55" s="5"/>
      <c r="F55" s="5"/>
      <c r="G55" s="5"/>
    </row>
    <row r="56" spans="1:9" x14ac:dyDescent="0.25">
      <c r="A56" s="5"/>
      <c r="B56" s="5"/>
      <c r="C56" s="5"/>
      <c r="D56" s="5"/>
      <c r="E56" s="5"/>
      <c r="F56" s="5"/>
      <c r="G56" s="5"/>
    </row>
    <row r="57" spans="1:9" x14ac:dyDescent="0.25">
      <c r="A57" t="s">
        <v>17</v>
      </c>
    </row>
    <row r="62" spans="1:9" x14ac:dyDescent="0.25">
      <c r="E62" s="7" t="s">
        <v>5</v>
      </c>
      <c r="F62" s="7"/>
    </row>
    <row r="63" spans="1:9" x14ac:dyDescent="0.25">
      <c r="E63" s="1">
        <v>-2</v>
      </c>
      <c r="F63" s="1">
        <f>(3*(SIN(0.5*E63)))-(0.5*E63)+2</f>
        <v>0.47558704557631071</v>
      </c>
    </row>
    <row r="64" spans="1:9" x14ac:dyDescent="0.25">
      <c r="E64" s="1">
        <v>-1</v>
      </c>
      <c r="F64" s="1">
        <f>(3*(SIN(0.5*E64)))-(0.5*E64)+2</f>
        <v>1.061723384187391</v>
      </c>
    </row>
    <row r="65" spans="1:12" x14ac:dyDescent="0.25">
      <c r="A65" t="s">
        <v>18</v>
      </c>
      <c r="E65" s="1">
        <v>0</v>
      </c>
      <c r="F65" s="1">
        <f t="shared" ref="F65:F72" si="17">(3*SIN(0.5*E65))-(0.5*E65)+2</f>
        <v>2</v>
      </c>
    </row>
    <row r="66" spans="1:12" x14ac:dyDescent="0.25">
      <c r="E66" s="1">
        <v>1</v>
      </c>
      <c r="F66" s="1">
        <f t="shared" si="17"/>
        <v>2.938276615812609</v>
      </c>
    </row>
    <row r="67" spans="1:12" x14ac:dyDescent="0.25">
      <c r="E67" s="1">
        <v>2</v>
      </c>
      <c r="F67" s="9">
        <f t="shared" si="17"/>
        <v>3.5244129544236893</v>
      </c>
    </row>
    <row r="68" spans="1:12" x14ac:dyDescent="0.25">
      <c r="E68" s="1">
        <v>3</v>
      </c>
      <c r="F68" s="9">
        <f t="shared" si="17"/>
        <v>3.4924849598121632</v>
      </c>
    </row>
    <row r="69" spans="1:12" x14ac:dyDescent="0.25">
      <c r="E69" s="1">
        <v>4</v>
      </c>
      <c r="F69" s="1">
        <f t="shared" si="17"/>
        <v>2.7278922804770449</v>
      </c>
    </row>
    <row r="70" spans="1:12" x14ac:dyDescent="0.25">
      <c r="E70" s="1">
        <v>5</v>
      </c>
      <c r="F70" s="8">
        <f t="shared" si="17"/>
        <v>1.2954164323118698</v>
      </c>
      <c r="G70" t="s">
        <v>40</v>
      </c>
    </row>
    <row r="71" spans="1:12" x14ac:dyDescent="0.25">
      <c r="E71" s="1">
        <v>6</v>
      </c>
      <c r="F71" s="8">
        <f t="shared" si="17"/>
        <v>-0.57663997582039839</v>
      </c>
      <c r="K71" s="30" t="s">
        <v>33</v>
      </c>
      <c r="L71" s="30"/>
    </row>
    <row r="72" spans="1:12" x14ac:dyDescent="0.25">
      <c r="E72" s="1">
        <v>7</v>
      </c>
      <c r="F72" s="1">
        <f t="shared" si="17"/>
        <v>-2.5523496830688597</v>
      </c>
      <c r="K72" s="30" t="s">
        <v>36</v>
      </c>
      <c r="L72" s="30"/>
    </row>
    <row r="75" spans="1:12" x14ac:dyDescent="0.25">
      <c r="A75" s="3" t="s">
        <v>10</v>
      </c>
      <c r="B75" s="3" t="s">
        <v>13</v>
      </c>
      <c r="C75" s="3" t="s">
        <v>14</v>
      </c>
      <c r="D75" s="3" t="s">
        <v>1</v>
      </c>
      <c r="E75" s="3" t="s">
        <v>2</v>
      </c>
      <c r="F75" s="3" t="s">
        <v>3</v>
      </c>
      <c r="G75" s="3" t="s">
        <v>11</v>
      </c>
    </row>
    <row r="76" spans="1:12" x14ac:dyDescent="0.25">
      <c r="A76" s="1">
        <v>0</v>
      </c>
      <c r="B76" s="8">
        <v>5</v>
      </c>
      <c r="C76" s="8">
        <v>6</v>
      </c>
      <c r="D76" s="1">
        <f>(3*SIN(0.5*B76))-(0.5*B76)+2</f>
        <v>1.2954164323118698</v>
      </c>
      <c r="E76" s="1">
        <f>(3*SIN(0.5*C76))-(0.5*C76)+2</f>
        <v>-0.57663997582039839</v>
      </c>
      <c r="F76" s="1">
        <f>C76-(E76*((C76-B76)/(E76-D76)))</f>
        <v>5.6919751064575523</v>
      </c>
      <c r="G76" s="1"/>
    </row>
    <row r="77" spans="1:12" x14ac:dyDescent="0.25">
      <c r="A77" s="1">
        <v>1</v>
      </c>
      <c r="B77" s="1">
        <f>C76</f>
        <v>6</v>
      </c>
      <c r="C77" s="1">
        <f>F76</f>
        <v>5.6919751064575523</v>
      </c>
      <c r="D77" s="1">
        <f>(3*SIN(0.5*B77))-(0.5*B77)+2</f>
        <v>-0.57663997582039839</v>
      </c>
      <c r="E77" s="1">
        <f>(3*SIN(0.5*C77))-(0.5*C77)+2</f>
        <v>2.7968721321341095E-2</v>
      </c>
      <c r="F77" s="1">
        <f>C77-(E77*((C77-B77)/(E77-D77)))</f>
        <v>5.7062240950153615</v>
      </c>
      <c r="G77" s="1">
        <f>ABS((F77-F76)/F77)*100</f>
        <v>0.2497095858933463</v>
      </c>
      <c r="I77" t="s">
        <v>15</v>
      </c>
    </row>
    <row r="78" spans="1:12" x14ac:dyDescent="0.25">
      <c r="A78" s="1">
        <v>2</v>
      </c>
      <c r="B78" s="1">
        <f t="shared" ref="B78:B81" si="18">C77</f>
        <v>5.6919751064575523</v>
      </c>
      <c r="C78" s="1">
        <f t="shared" ref="C78:C81" si="19">F77</f>
        <v>5.7062240950153615</v>
      </c>
      <c r="D78" s="1">
        <f t="shared" ref="D78:D81" si="20">(3*SIN(0.5*B78))-(0.5*B78)+2</f>
        <v>2.7968721321341095E-2</v>
      </c>
      <c r="E78" s="1">
        <f t="shared" ref="E78:E81" si="21">(3*SIN(0.5*C78))-(0.5*C78)+2</f>
        <v>3.7578953277472849E-4</v>
      </c>
      <c r="F78" s="1">
        <f t="shared" ref="F78:F81" si="22">C78-(E78*((C78-B78)/(E78-D78)))</f>
        <v>5.7064181527107776</v>
      </c>
      <c r="G78" s="1">
        <f t="shared" ref="G78:G81" si="23">ABS((F78-F77)/F78)*100</f>
        <v>3.4006918214334256E-3</v>
      </c>
    </row>
    <row r="79" spans="1:12" x14ac:dyDescent="0.25">
      <c r="A79" s="2">
        <v>3</v>
      </c>
      <c r="B79" s="2">
        <f t="shared" si="18"/>
        <v>5.7062240950153615</v>
      </c>
      <c r="C79" s="2">
        <f t="shared" si="19"/>
        <v>5.7064181527107776</v>
      </c>
      <c r="D79" s="2">
        <f t="shared" si="20"/>
        <v>3.7578953277472849E-4</v>
      </c>
      <c r="E79" s="2">
        <f t="shared" si="21"/>
        <v>-3.0137685236297784E-7</v>
      </c>
      <c r="F79" s="6">
        <f t="shared" si="22"/>
        <v>5.7064179972044995</v>
      </c>
      <c r="G79" s="2">
        <f t="shared" si="23"/>
        <v>2.7251119380473138E-6</v>
      </c>
    </row>
    <row r="80" spans="1:12" x14ac:dyDescent="0.25">
      <c r="A80" s="1">
        <v>4</v>
      </c>
      <c r="B80" s="1">
        <f t="shared" si="18"/>
        <v>5.7064181527107776</v>
      </c>
      <c r="C80" s="1">
        <f t="shared" si="19"/>
        <v>5.7064179972044995</v>
      </c>
      <c r="D80" s="1">
        <f t="shared" si="20"/>
        <v>-3.0137685236297784E-7</v>
      </c>
      <c r="E80" s="1">
        <f t="shared" si="21"/>
        <v>3.2172042807587786E-12</v>
      </c>
      <c r="F80" s="1">
        <f t="shared" si="22"/>
        <v>5.7064179972061595</v>
      </c>
      <c r="G80" s="1">
        <f t="shared" si="23"/>
        <v>2.9090148447454542E-11</v>
      </c>
    </row>
    <row r="81" spans="1:7" x14ac:dyDescent="0.25">
      <c r="A81" s="1">
        <v>5</v>
      </c>
      <c r="B81" s="1">
        <f t="shared" si="18"/>
        <v>5.7064179972044995</v>
      </c>
      <c r="C81" s="1">
        <f t="shared" si="19"/>
        <v>5.7064179972061595</v>
      </c>
      <c r="D81" s="1">
        <f t="shared" si="20"/>
        <v>3.2172042807587786E-12</v>
      </c>
      <c r="E81" s="1">
        <f t="shared" si="21"/>
        <v>0</v>
      </c>
      <c r="F81" s="1">
        <f t="shared" si="22"/>
        <v>5.7064179972061595</v>
      </c>
      <c r="G81" s="1">
        <f t="shared" si="23"/>
        <v>0</v>
      </c>
    </row>
    <row r="83" spans="1:7" x14ac:dyDescent="0.25">
      <c r="A83" t="s">
        <v>19</v>
      </c>
    </row>
    <row r="92" spans="1:7" x14ac:dyDescent="0.25">
      <c r="B92" s="7" t="s">
        <v>5</v>
      </c>
      <c r="C92" s="7"/>
    </row>
    <row r="93" spans="1:7" x14ac:dyDescent="0.25">
      <c r="B93" s="1">
        <v>-3</v>
      </c>
      <c r="C93" s="1">
        <f>B93^3 - B93^2*EXP(-0.5*B93) - 3*B93 + 1</f>
        <v>-57.335201633042573</v>
      </c>
    </row>
    <row r="94" spans="1:7" x14ac:dyDescent="0.25">
      <c r="B94" s="1">
        <v>-2.5</v>
      </c>
      <c r="C94" s="1">
        <f>B94^3 - B94^2*EXP(-0.5*B94) - 3*B94 + 1</f>
        <v>-28.939643484136511</v>
      </c>
    </row>
    <row r="95" spans="1:7" x14ac:dyDescent="0.25">
      <c r="B95" s="1">
        <v>-2</v>
      </c>
      <c r="C95" s="1">
        <f>B95^3 - B95^2*EXP(-0.5*B95) - 3*B95 + 1</f>
        <v>-11.873127313836179</v>
      </c>
    </row>
    <row r="96" spans="1:7" x14ac:dyDescent="0.25">
      <c r="B96" s="8">
        <v>-1.5</v>
      </c>
      <c r="C96" s="8">
        <f t="shared" ref="C96:C103" si="24">B96^3 - B96^2*EXP(-0.5*B96) - 3*B96 + 1</f>
        <v>-2.6382500373785192</v>
      </c>
      <c r="D96" t="s">
        <v>20</v>
      </c>
    </row>
    <row r="97" spans="1:9" x14ac:dyDescent="0.25">
      <c r="B97" s="8">
        <v>-1</v>
      </c>
      <c r="C97" s="8">
        <f t="shared" si="24"/>
        <v>1.3512787292998718</v>
      </c>
    </row>
    <row r="98" spans="1:9" x14ac:dyDescent="0.25">
      <c r="B98" s="1">
        <v>-0.5</v>
      </c>
      <c r="C98" s="1">
        <f t="shared" si="24"/>
        <v>2.0539936458280645</v>
      </c>
    </row>
    <row r="99" spans="1:9" x14ac:dyDescent="0.25">
      <c r="B99" s="8">
        <v>0</v>
      </c>
      <c r="C99" s="8">
        <f t="shared" si="24"/>
        <v>1</v>
      </c>
      <c r="D99" t="s">
        <v>20</v>
      </c>
    </row>
    <row r="100" spans="1:9" x14ac:dyDescent="0.25">
      <c r="B100" s="8">
        <v>0.5</v>
      </c>
      <c r="C100" s="8">
        <f t="shared" si="24"/>
        <v>-0.56970019576785114</v>
      </c>
    </row>
    <row r="101" spans="1:9" x14ac:dyDescent="0.25">
      <c r="B101" s="1">
        <v>1</v>
      </c>
      <c r="C101" s="1">
        <f t="shared" si="24"/>
        <v>-1.6065306597126332</v>
      </c>
    </row>
    <row r="102" spans="1:9" x14ac:dyDescent="0.25">
      <c r="B102" s="8">
        <v>1.5</v>
      </c>
      <c r="C102" s="8">
        <f t="shared" si="24"/>
        <v>-1.1878247436672833</v>
      </c>
      <c r="D102" t="s">
        <v>20</v>
      </c>
    </row>
    <row r="103" spans="1:9" x14ac:dyDescent="0.25">
      <c r="B103" s="13">
        <v>2</v>
      </c>
      <c r="C103" s="13">
        <f t="shared" si="24"/>
        <v>1.5284822353142307</v>
      </c>
    </row>
    <row r="104" spans="1:9" x14ac:dyDescent="0.25">
      <c r="B104" s="9">
        <v>2.5</v>
      </c>
      <c r="C104" s="9">
        <f>B104^3 - B104^2*EXP(-0.5*B104) - 3*B104 + 1</f>
        <v>7.3343450196238127</v>
      </c>
    </row>
    <row r="105" spans="1:9" x14ac:dyDescent="0.25">
      <c r="B105" s="1">
        <v>3.5</v>
      </c>
      <c r="C105" s="1">
        <f>B105^3 - B105^2*EXP(-0.5*B105) - 3*B105 + 1</f>
        <v>31.246269192732044</v>
      </c>
    </row>
    <row r="106" spans="1:9" x14ac:dyDescent="0.25">
      <c r="A106" t="s">
        <v>9</v>
      </c>
    </row>
    <row r="108" spans="1:9" x14ac:dyDescent="0.25">
      <c r="A108" s="3" t="s">
        <v>10</v>
      </c>
      <c r="B108" s="3" t="s">
        <v>13</v>
      </c>
      <c r="C108" s="3" t="s">
        <v>14</v>
      </c>
      <c r="D108" s="3" t="s">
        <v>1</v>
      </c>
      <c r="E108" s="3" t="s">
        <v>2</v>
      </c>
      <c r="F108" s="3" t="s">
        <v>3</v>
      </c>
      <c r="G108" s="3" t="s">
        <v>11</v>
      </c>
    </row>
    <row r="109" spans="1:9" x14ac:dyDescent="0.25">
      <c r="A109" s="1">
        <v>0</v>
      </c>
      <c r="B109" s="8">
        <v>-1.5</v>
      </c>
      <c r="C109" s="8">
        <v>-1</v>
      </c>
      <c r="D109" s="1">
        <f>B109^3 - B109^2*EXP(-0.5*B109) - 3*B109 + 1</f>
        <v>-2.6382500373785192</v>
      </c>
      <c r="E109" s="1">
        <f>C109^3 - C109^2*EXP(-0.5*C109) - 3*C109 + 1</f>
        <v>1.3512787292998718</v>
      </c>
      <c r="F109" s="1">
        <f>C109-(E109*((C109-B109)/(E109-D109)))</f>
        <v>-1.1693531753156052</v>
      </c>
      <c r="G109" s="1"/>
    </row>
    <row r="110" spans="1:9" x14ac:dyDescent="0.25">
      <c r="A110" s="1">
        <v>1</v>
      </c>
      <c r="B110" s="1">
        <f>C109</f>
        <v>-1</v>
      </c>
      <c r="C110" s="1">
        <f>F109</f>
        <v>-1.1693531753156052</v>
      </c>
      <c r="D110" s="1">
        <f>B110^3 - B110^2*EXP(-0.5*B110) - 3*B110 + 1</f>
        <v>1.3512787292998718</v>
      </c>
      <c r="E110" s="1">
        <f>C110^3 - C110^2*EXP(-0.5*C110) - 3*C110 + 1</f>
        <v>0.45544797559724204</v>
      </c>
      <c r="F110" s="1">
        <f>C110-(E110*((C110-B110)/(E110-D110)))</f>
        <v>-1.2554537702546142</v>
      </c>
      <c r="G110" s="1">
        <f>ABS((F110-F109)/F110)*100</f>
        <v>6.8581254825135645</v>
      </c>
    </row>
    <row r="111" spans="1:9" x14ac:dyDescent="0.25">
      <c r="A111" s="1">
        <v>2</v>
      </c>
      <c r="B111" s="1">
        <f t="shared" ref="B111:B116" si="25">C110</f>
        <v>-1.1693531753156052</v>
      </c>
      <c r="C111" s="1">
        <f t="shared" ref="C111:C116" si="26">F110</f>
        <v>-1.2554537702546142</v>
      </c>
      <c r="D111" s="1">
        <f t="shared" ref="D111:D116" si="27">B111^3 - B111^2*EXP(-0.5*B111) - 3*B111 + 1</f>
        <v>0.45544797559724204</v>
      </c>
      <c r="E111" s="1">
        <f t="shared" ref="E111:E116" si="28">C111^3 - C111^2*EXP(-0.5*C111) - 3*C111 + 1</f>
        <v>-0.16514298950341288</v>
      </c>
      <c r="F111" s="1">
        <f t="shared" ref="F111:F116" si="29">C111-(E111*((C111-B111)/(E111-D111)))</f>
        <v>-1.2325418839303521</v>
      </c>
      <c r="G111" s="1">
        <f t="shared" ref="G111:G116" si="30">ABS((F111-F110)/F111)*100</f>
        <v>1.8589134067558231</v>
      </c>
    </row>
    <row r="112" spans="1:9" x14ac:dyDescent="0.25">
      <c r="A112" s="1">
        <v>3</v>
      </c>
      <c r="B112" s="1">
        <f t="shared" si="25"/>
        <v>-1.2554537702546142</v>
      </c>
      <c r="C112" s="1">
        <f t="shared" si="26"/>
        <v>-1.2325418839303521</v>
      </c>
      <c r="D112" s="1">
        <f t="shared" si="27"/>
        <v>-0.16514298950341288</v>
      </c>
      <c r="E112" s="1">
        <f t="shared" si="28"/>
        <v>1.1701038205524483E-2</v>
      </c>
      <c r="F112" s="1">
        <f t="shared" si="29"/>
        <v>-1.2340578687261863</v>
      </c>
      <c r="G112" s="1">
        <f t="shared" si="30"/>
        <v>0.12284551918128196</v>
      </c>
      <c r="I112" t="s">
        <v>15</v>
      </c>
    </row>
    <row r="113" spans="1:12" x14ac:dyDescent="0.25">
      <c r="A113" s="1">
        <v>4</v>
      </c>
      <c r="B113" s="1">
        <f t="shared" si="25"/>
        <v>-1.2325418839303521</v>
      </c>
      <c r="C113" s="1">
        <f t="shared" si="26"/>
        <v>-1.2340578687261863</v>
      </c>
      <c r="D113" s="1">
        <f t="shared" si="27"/>
        <v>1.1701038205524483E-2</v>
      </c>
      <c r="E113" s="1">
        <f t="shared" si="28"/>
        <v>2.6748586001179575E-4</v>
      </c>
      <c r="F113" s="1">
        <f t="shared" si="29"/>
        <v>-1.234093334912427</v>
      </c>
      <c r="G113" s="1">
        <f t="shared" si="30"/>
        <v>2.8738657958351089E-3</v>
      </c>
    </row>
    <row r="114" spans="1:12" x14ac:dyDescent="0.25">
      <c r="A114" s="2">
        <v>5</v>
      </c>
      <c r="B114" s="2">
        <f t="shared" si="25"/>
        <v>-1.2340578687261863</v>
      </c>
      <c r="C114" s="2">
        <f t="shared" si="26"/>
        <v>-1.234093334912427</v>
      </c>
      <c r="D114" s="2">
        <f t="shared" si="27"/>
        <v>2.6748586001179575E-4</v>
      </c>
      <c r="E114" s="2">
        <f t="shared" si="28"/>
        <v>-4.5074825116842021E-7</v>
      </c>
      <c r="F114" s="6">
        <f t="shared" si="29"/>
        <v>-1.2340932752478611</v>
      </c>
      <c r="G114" s="2">
        <f t="shared" si="30"/>
        <v>4.834688524053175E-6</v>
      </c>
    </row>
    <row r="115" spans="1:12" x14ac:dyDescent="0.25">
      <c r="A115" s="1">
        <v>6</v>
      </c>
      <c r="B115" s="1">
        <f t="shared" si="25"/>
        <v>-1.234093334912427</v>
      </c>
      <c r="C115" s="1">
        <f t="shared" si="26"/>
        <v>-1.2340932752478611</v>
      </c>
      <c r="D115" s="1">
        <f t="shared" si="27"/>
        <v>-4.5074825116842021E-7</v>
      </c>
      <c r="E115" s="1">
        <f t="shared" si="28"/>
        <v>1.7312817846004691E-11</v>
      </c>
      <c r="F115" s="1">
        <f t="shared" si="29"/>
        <v>-1.2340932752501526</v>
      </c>
      <c r="G115" s="1">
        <f t="shared" si="30"/>
        <v>1.8568291139596661E-10</v>
      </c>
    </row>
    <row r="116" spans="1:12" x14ac:dyDescent="0.25">
      <c r="A116" s="1">
        <v>7</v>
      </c>
      <c r="B116" s="1">
        <f t="shared" si="25"/>
        <v>-1.2340932752478611</v>
      </c>
      <c r="C116" s="1">
        <f t="shared" si="26"/>
        <v>-1.2340932752501526</v>
      </c>
      <c r="D116" s="1">
        <f t="shared" si="27"/>
        <v>1.7312817846004691E-11</v>
      </c>
      <c r="E116" s="1">
        <f t="shared" si="28"/>
        <v>1.3322676295501878E-15</v>
      </c>
      <c r="F116" s="1">
        <f t="shared" si="29"/>
        <v>-1.2340932752501528</v>
      </c>
      <c r="G116" s="1">
        <f t="shared" si="30"/>
        <v>1.799253017402777E-14</v>
      </c>
    </row>
    <row r="118" spans="1:12" x14ac:dyDescent="0.25">
      <c r="A118" t="s">
        <v>21</v>
      </c>
    </row>
    <row r="120" spans="1:12" x14ac:dyDescent="0.25">
      <c r="A120" s="3" t="s">
        <v>10</v>
      </c>
      <c r="B120" s="3" t="s">
        <v>13</v>
      </c>
      <c r="C120" s="3" t="s">
        <v>14</v>
      </c>
      <c r="D120" s="3" t="s">
        <v>1</v>
      </c>
      <c r="E120" s="3" t="s">
        <v>2</v>
      </c>
      <c r="F120" s="3" t="s">
        <v>3</v>
      </c>
      <c r="G120" s="3" t="s">
        <v>11</v>
      </c>
    </row>
    <row r="121" spans="1:12" x14ac:dyDescent="0.25">
      <c r="A121" s="1">
        <v>0</v>
      </c>
      <c r="B121" s="8">
        <v>0</v>
      </c>
      <c r="C121" s="8">
        <v>0.5</v>
      </c>
      <c r="D121" s="1">
        <f>B121^3 - B121^2*EXP(-0.5*B121) - 3*B121 + 1</f>
        <v>1</v>
      </c>
      <c r="E121" s="1">
        <f>C121^3 - C121^2*EXP(-0.5*C121) - 3*C121 + 1</f>
        <v>-0.56970019576785114</v>
      </c>
      <c r="F121" s="1">
        <f>C121-(E121*((C121-B121)/(E121-D121)))</f>
        <v>0.31853216387949468</v>
      </c>
      <c r="G121" s="1"/>
    </row>
    <row r="122" spans="1:12" x14ac:dyDescent="0.25">
      <c r="A122" s="1">
        <v>1</v>
      </c>
      <c r="B122" s="1">
        <f>C121</f>
        <v>0.5</v>
      </c>
      <c r="C122" s="1">
        <f>F121</f>
        <v>0.31853216387949468</v>
      </c>
      <c r="D122" s="1">
        <f>B122^3 - B122^2*EXP(-0.5*B122) - 3*B122 + 1</f>
        <v>-0.56970019576785114</v>
      </c>
      <c r="E122" s="1">
        <f>C122^3 - C122^2*EXP(-0.5*C122) - 3*C122 + 1</f>
        <v>-9.8016673746958993E-3</v>
      </c>
      <c r="F122" s="1">
        <f>C122-(E122*((C122-B122)/(E122-D122)))</f>
        <v>0.31535536080061599</v>
      </c>
      <c r="G122" s="1">
        <f>ABS((F122-F121)/F122)*100</f>
        <v>1.0073724673059314</v>
      </c>
    </row>
    <row r="123" spans="1:12" x14ac:dyDescent="0.25">
      <c r="A123" s="1">
        <v>2</v>
      </c>
      <c r="B123" s="1">
        <f t="shared" ref="B123:B126" si="31">C122</f>
        <v>0.31853216387949468</v>
      </c>
      <c r="C123" s="1">
        <f t="shared" ref="C123:C126" si="32">F122</f>
        <v>0.31535536080061599</v>
      </c>
      <c r="D123" s="1">
        <f t="shared" ref="D123:D126" si="33">B123^3 - B123^2*EXP(-0.5*B123) - 3*B123 + 1</f>
        <v>-9.8016673746958993E-3</v>
      </c>
      <c r="E123" s="1">
        <f t="shared" ref="E123:E126" si="34">C123^3 - C123^2*EXP(-0.5*C123) - 3*C123 + 1</f>
        <v>3.5380995432121587E-4</v>
      </c>
      <c r="F123" s="1">
        <f t="shared" ref="F123:F126" si="35">C123-(E123*((C123-B123)/(E123-D123)))</f>
        <v>0.31546603846901217</v>
      </c>
      <c r="G123" s="1">
        <f t="shared" ref="G123:G126" si="36">ABS((F123-F122)/F123)*100</f>
        <v>3.5083861620510678E-2</v>
      </c>
      <c r="K123" s="30" t="s">
        <v>33</v>
      </c>
      <c r="L123" s="30"/>
    </row>
    <row r="124" spans="1:12" x14ac:dyDescent="0.25">
      <c r="A124" s="2">
        <v>3</v>
      </c>
      <c r="B124" s="2">
        <f t="shared" si="31"/>
        <v>0.31535536080061599</v>
      </c>
      <c r="C124" s="2">
        <f t="shared" si="32"/>
        <v>0.31546603846901217</v>
      </c>
      <c r="D124" s="2">
        <f t="shared" si="33"/>
        <v>3.5380995432121587E-4</v>
      </c>
      <c r="E124" s="2">
        <f t="shared" si="34"/>
        <v>-1.2052109887861207E-7</v>
      </c>
      <c r="F124" s="6">
        <f t="shared" si="35"/>
        <v>0.3154660007808357</v>
      </c>
      <c r="G124" s="2">
        <f t="shared" si="36"/>
        <v>1.1946826718333221E-5</v>
      </c>
      <c r="I124" t="s">
        <v>15</v>
      </c>
      <c r="K124" s="30" t="s">
        <v>39</v>
      </c>
      <c r="L124" s="30"/>
    </row>
    <row r="125" spans="1:12" x14ac:dyDescent="0.25">
      <c r="A125" s="1">
        <v>4</v>
      </c>
      <c r="B125" s="1">
        <f t="shared" si="31"/>
        <v>0.31546603846901217</v>
      </c>
      <c r="C125" s="1">
        <f t="shared" si="32"/>
        <v>0.3154660007808357</v>
      </c>
      <c r="D125" s="1">
        <f t="shared" si="33"/>
        <v>-1.2052109887861207E-7</v>
      </c>
      <c r="E125" s="1">
        <f t="shared" si="34"/>
        <v>-1.4634959910608814E-12</v>
      </c>
      <c r="F125" s="1">
        <f t="shared" si="35"/>
        <v>0.31546600078037806</v>
      </c>
      <c r="G125" s="1">
        <f t="shared" si="36"/>
        <v>1.4506600699233079E-10</v>
      </c>
      <c r="K125" s="30" t="s">
        <v>38</v>
      </c>
      <c r="L125" s="30"/>
    </row>
    <row r="126" spans="1:12" x14ac:dyDescent="0.25">
      <c r="A126" s="12">
        <v>5</v>
      </c>
      <c r="B126" s="12">
        <f t="shared" si="31"/>
        <v>0.3154660007808357</v>
      </c>
      <c r="C126" s="12">
        <f t="shared" si="32"/>
        <v>0.31546600078037806</v>
      </c>
      <c r="D126" s="12">
        <f t="shared" si="33"/>
        <v>-1.4634959910608814E-12</v>
      </c>
      <c r="E126" s="12">
        <f t="shared" si="34"/>
        <v>0</v>
      </c>
      <c r="F126" s="12">
        <f t="shared" si="35"/>
        <v>0.31546600078037806</v>
      </c>
      <c r="G126" s="12">
        <f t="shared" si="36"/>
        <v>0</v>
      </c>
      <c r="K126" s="30" t="s">
        <v>37</v>
      </c>
      <c r="L126" s="30"/>
    </row>
    <row r="127" spans="1:12" x14ac:dyDescent="0.25">
      <c r="A127" s="5"/>
      <c r="B127" s="5"/>
      <c r="C127" s="5"/>
      <c r="D127" s="5"/>
      <c r="E127" s="5"/>
      <c r="F127" s="5"/>
      <c r="G127" s="5"/>
    </row>
    <row r="128" spans="1:12" x14ac:dyDescent="0.25">
      <c r="A128" s="5" t="s">
        <v>22</v>
      </c>
      <c r="B128" s="5"/>
      <c r="C128" s="5"/>
      <c r="D128" s="5"/>
      <c r="E128" s="5"/>
      <c r="F128" s="5"/>
      <c r="G128" s="5"/>
    </row>
    <row r="130" spans="1:9" x14ac:dyDescent="0.25">
      <c r="A130" s="3" t="s">
        <v>10</v>
      </c>
      <c r="B130" s="3" t="s">
        <v>13</v>
      </c>
      <c r="C130" s="3" t="s">
        <v>14</v>
      </c>
      <c r="D130" s="3" t="s">
        <v>1</v>
      </c>
      <c r="E130" s="3" t="s">
        <v>2</v>
      </c>
      <c r="F130" s="3" t="s">
        <v>3</v>
      </c>
      <c r="G130" s="3" t="s">
        <v>11</v>
      </c>
    </row>
    <row r="131" spans="1:9" x14ac:dyDescent="0.25">
      <c r="A131" s="1">
        <v>0</v>
      </c>
      <c r="B131" s="8">
        <v>1.5</v>
      </c>
      <c r="C131" s="8">
        <v>2</v>
      </c>
      <c r="D131" s="1">
        <f>B131^3 - B131^2*EXP(-0.5*B131) - 3*B131 + 1</f>
        <v>-1.1878247436672833</v>
      </c>
      <c r="E131" s="1">
        <f>C131^3 - C131^2*EXP(-0.5*C131) - 3*C131 + 1</f>
        <v>1.5284822353142307</v>
      </c>
      <c r="F131" s="1">
        <f>C131-(E131*((C131-B131)/(E131-D131)))</f>
        <v>1.7186469999264702</v>
      </c>
      <c r="G131" s="1"/>
    </row>
    <row r="132" spans="1:9" x14ac:dyDescent="0.25">
      <c r="A132" s="1">
        <v>1</v>
      </c>
      <c r="B132" s="1">
        <f>C131</f>
        <v>2</v>
      </c>
      <c r="C132" s="1">
        <f>F131</f>
        <v>1.7186469999264702</v>
      </c>
      <c r="D132" s="1">
        <f>B132^3 - B132^2*EXP(-0.5*B132) - 3*B132 + 1</f>
        <v>1.5284822353142307</v>
      </c>
      <c r="E132" s="1">
        <f>C132^3 - C132^2*EXP(-0.5*C132) - 3*C132 + 1</f>
        <v>-0.33025150259725455</v>
      </c>
      <c r="F132" s="1">
        <f>C132-(E132*((C132-B132)/(E132-D132)))</f>
        <v>1.7686365434201674</v>
      </c>
      <c r="G132" s="1">
        <f>ABS((F132-F131)/F132)*100</f>
        <v>2.8264452456143454</v>
      </c>
    </row>
    <row r="133" spans="1:9" x14ac:dyDescent="0.25">
      <c r="A133" s="1">
        <v>2</v>
      </c>
      <c r="B133" s="1">
        <f t="shared" ref="B133:B136" si="37">C132</f>
        <v>1.7186469999264702</v>
      </c>
      <c r="C133" s="1">
        <f t="shared" ref="C133:C136" si="38">F132</f>
        <v>1.7686365434201674</v>
      </c>
      <c r="D133" s="1">
        <f t="shared" ref="D133:D136" si="39">B133^3 - B133^2*EXP(-0.5*B133) - 3*B133 + 1</f>
        <v>-0.33025150259725455</v>
      </c>
      <c r="E133" s="1">
        <f t="shared" ref="E133:E136" si="40">C133^3 - C133^2*EXP(-0.5*C133) - 3*C133 + 1</f>
        <v>-6.5362872245422032E-2</v>
      </c>
      <c r="F133" s="1">
        <f t="shared" ref="F133:F136" si="41">C133-(E133*((C133-B133)/(E133-D133)))</f>
        <v>1.7809717657384887</v>
      </c>
      <c r="G133" s="1">
        <f t="shared" ref="G133:G136" si="42">ABS((F133-F132)/F133)*100</f>
        <v>0.69261189624791342</v>
      </c>
    </row>
    <row r="134" spans="1:9" x14ac:dyDescent="0.25">
      <c r="A134" s="1">
        <v>3</v>
      </c>
      <c r="B134" s="1">
        <f t="shared" si="37"/>
        <v>1.7686365434201674</v>
      </c>
      <c r="C134" s="1">
        <f t="shared" si="38"/>
        <v>1.7809717657384887</v>
      </c>
      <c r="D134" s="1">
        <f t="shared" si="39"/>
        <v>-6.5362872245422032E-2</v>
      </c>
      <c r="E134" s="1">
        <f t="shared" si="40"/>
        <v>4.1685709323697751E-3</v>
      </c>
      <c r="F134" s="1">
        <f t="shared" si="41"/>
        <v>1.7802322406135895</v>
      </c>
      <c r="G134" s="1">
        <f t="shared" si="42"/>
        <v>4.1540935391905634E-2</v>
      </c>
    </row>
    <row r="135" spans="1:9" x14ac:dyDescent="0.25">
      <c r="A135" s="2">
        <v>4</v>
      </c>
      <c r="B135" s="2">
        <f t="shared" si="37"/>
        <v>1.7809717657384887</v>
      </c>
      <c r="C135" s="2">
        <f t="shared" si="38"/>
        <v>1.7802322406135895</v>
      </c>
      <c r="D135" s="2">
        <f t="shared" si="39"/>
        <v>4.1685709323697751E-3</v>
      </c>
      <c r="E135" s="2">
        <f t="shared" si="40"/>
        <v>-4.7052758239907178E-5</v>
      </c>
      <c r="F135" s="6">
        <f t="shared" si="41"/>
        <v>1.7802404948363257</v>
      </c>
      <c r="G135" s="2">
        <f t="shared" si="42"/>
        <v>4.6365773389300271E-4</v>
      </c>
      <c r="I135" t="s">
        <v>15</v>
      </c>
    </row>
    <row r="136" spans="1:9" x14ac:dyDescent="0.25">
      <c r="A136" s="12">
        <v>5</v>
      </c>
      <c r="B136" s="12">
        <f t="shared" si="37"/>
        <v>1.7802322406135895</v>
      </c>
      <c r="C136" s="12">
        <f t="shared" si="38"/>
        <v>1.7802404948363257</v>
      </c>
      <c r="D136" s="12">
        <f t="shared" si="39"/>
        <v>-4.7052758239907178E-5</v>
      </c>
      <c r="E136" s="12">
        <f t="shared" si="40"/>
        <v>-3.3193495951877594E-8</v>
      </c>
      <c r="F136" s="12">
        <f t="shared" si="41"/>
        <v>1.7802405006634003</v>
      </c>
      <c r="G136" s="12">
        <f t="shared" si="42"/>
        <v>3.2731951657350943E-7</v>
      </c>
    </row>
    <row r="139" spans="1:9" x14ac:dyDescent="0.25">
      <c r="A139" t="s">
        <v>23</v>
      </c>
    </row>
    <row r="147" spans="1:11" x14ac:dyDescent="0.25">
      <c r="B147" s="7" t="s">
        <v>5</v>
      </c>
      <c r="C147" s="7"/>
      <c r="E147" t="s">
        <v>24</v>
      </c>
    </row>
    <row r="148" spans="1:11" x14ac:dyDescent="0.25">
      <c r="B148" s="1">
        <v>0</v>
      </c>
      <c r="C148" s="1">
        <f>(COS(B148)^2)-((0.5)*B148*EXP(0.3*B148))+5</f>
        <v>6</v>
      </c>
    </row>
    <row r="149" spans="1:11" x14ac:dyDescent="0.25">
      <c r="B149" s="1">
        <v>1</v>
      </c>
      <c r="C149" s="1">
        <f t="shared" ref="C149:C158" si="43">(COS(B149)^2)-((0.5)*B149*EXP(0.3*B149))+5</f>
        <v>4.6169971779384271</v>
      </c>
    </row>
    <row r="150" spans="1:11" x14ac:dyDescent="0.25">
      <c r="B150" s="1">
        <v>2</v>
      </c>
      <c r="C150" s="1">
        <f t="shared" si="43"/>
        <v>3.351059389177685</v>
      </c>
    </row>
    <row r="151" spans="1:11" x14ac:dyDescent="0.25">
      <c r="B151" s="14">
        <v>3</v>
      </c>
      <c r="C151" s="14">
        <f t="shared" si="43"/>
        <v>2.2906804765897588</v>
      </c>
      <c r="D151" t="s">
        <v>25</v>
      </c>
    </row>
    <row r="152" spans="1:11" x14ac:dyDescent="0.25">
      <c r="B152" s="14">
        <v>4</v>
      </c>
      <c r="C152" s="14">
        <f t="shared" si="43"/>
        <v>-1.212983862377401</v>
      </c>
    </row>
    <row r="153" spans="1:11" x14ac:dyDescent="0.25">
      <c r="B153" s="1">
        <v>5</v>
      </c>
      <c r="C153" s="1">
        <f t="shared" si="43"/>
        <v>-6.1237584403833871</v>
      </c>
      <c r="J153" s="30" t="s">
        <v>41</v>
      </c>
      <c r="K153" s="30"/>
    </row>
    <row r="154" spans="1:11" x14ac:dyDescent="0.25">
      <c r="B154" s="1">
        <v>6</v>
      </c>
      <c r="C154" s="1">
        <f t="shared" si="43"/>
        <v>-12.227015413872586</v>
      </c>
      <c r="J154" s="30" t="s">
        <v>42</v>
      </c>
      <c r="K154" s="30"/>
    </row>
    <row r="155" spans="1:11" x14ac:dyDescent="0.25">
      <c r="B155" s="1">
        <v>7</v>
      </c>
      <c r="C155" s="1">
        <f t="shared" si="43"/>
        <v>-23.013226084882863</v>
      </c>
    </row>
    <row r="156" spans="1:11" x14ac:dyDescent="0.25">
      <c r="B156" s="1">
        <v>8</v>
      </c>
      <c r="C156" s="1">
        <f t="shared" si="43"/>
        <v>-39.071535262728098</v>
      </c>
    </row>
    <row r="157" spans="1:11" x14ac:dyDescent="0.25">
      <c r="B157" s="1">
        <v>9</v>
      </c>
      <c r="C157" s="1">
        <f t="shared" si="43"/>
        <v>-61.128634407805706</v>
      </c>
    </row>
    <row r="158" spans="1:11" x14ac:dyDescent="0.25">
      <c r="B158" s="1">
        <v>10</v>
      </c>
      <c r="C158" s="1">
        <f t="shared" si="43"/>
        <v>-94.723643585031652</v>
      </c>
    </row>
    <row r="160" spans="1:11" x14ac:dyDescent="0.25">
      <c r="A160" s="3" t="s">
        <v>10</v>
      </c>
      <c r="B160" s="3" t="s">
        <v>13</v>
      </c>
      <c r="C160" s="3" t="s">
        <v>14</v>
      </c>
      <c r="D160" s="3" t="s">
        <v>1</v>
      </c>
      <c r="E160" s="3" t="s">
        <v>2</v>
      </c>
      <c r="F160" s="3" t="s">
        <v>3</v>
      </c>
      <c r="G160" s="3" t="s">
        <v>11</v>
      </c>
    </row>
    <row r="161" spans="1:9" x14ac:dyDescent="0.25">
      <c r="A161" s="1">
        <v>0</v>
      </c>
      <c r="B161" s="14">
        <v>3</v>
      </c>
      <c r="C161" s="14">
        <v>4</v>
      </c>
      <c r="D161" s="1">
        <f>(COS(B161)^2)-((0.5)*B161*EXP(0.3*B161))+5</f>
        <v>2.2906804765897588</v>
      </c>
      <c r="E161" s="1">
        <f>(COS(C161)^2)-((0.5)*C161*EXP(0.3*C161))+5</f>
        <v>-1.212983862377401</v>
      </c>
      <c r="F161" s="1">
        <f>C161-(E161*((C161-B161)/(E161-D161)))</f>
        <v>3.6537956422118407</v>
      </c>
      <c r="G161" s="1"/>
    </row>
    <row r="162" spans="1:9" x14ac:dyDescent="0.25">
      <c r="A162" s="1">
        <v>1</v>
      </c>
      <c r="B162" s="1">
        <f>C161</f>
        <v>4</v>
      </c>
      <c r="C162" s="1">
        <f>F161</f>
        <v>3.6537956422118407</v>
      </c>
      <c r="D162" s="1">
        <f>(COS(B162)^2)-((0.5)*B162*EXP(0.3*B162))+5</f>
        <v>-1.212983862377401</v>
      </c>
      <c r="E162" s="1">
        <f>(COS(C162)^2)-((0.5)*C162*EXP(0.3*C162))+5</f>
        <v>0.29265006210311029</v>
      </c>
      <c r="F162" s="1">
        <f>C162-(E162*((C162-B162)/(E162-D162)))</f>
        <v>3.7210873823617776</v>
      </c>
      <c r="G162" s="1">
        <f>ABS((F162-F161)/F162)*100</f>
        <v>1.808389141004981</v>
      </c>
    </row>
    <row r="163" spans="1:9" x14ac:dyDescent="0.25">
      <c r="A163" s="1">
        <v>2</v>
      </c>
      <c r="B163" s="1">
        <f t="shared" ref="B163:B166" si="44">C162</f>
        <v>3.6537956422118407</v>
      </c>
      <c r="C163" s="1">
        <f t="shared" ref="C163:C166" si="45">F162</f>
        <v>3.7210873823617776</v>
      </c>
      <c r="D163" s="1">
        <f t="shared" ref="D163:D166" si="46">(COS(B163)^2)-((0.5)*B163*EXP(0.3*B163))+5</f>
        <v>0.29265006210311029</v>
      </c>
      <c r="E163" s="1">
        <f t="shared" ref="E163:E166" si="47">(COS(C163)^2)-((0.5)*C163*EXP(0.3*C163))+5</f>
        <v>1.8748318639778994E-2</v>
      </c>
      <c r="F163" s="1">
        <f t="shared" ref="F163:F166" si="48">C163-(E163*((C163-B163)/(E163-D163)))</f>
        <v>3.7256934391550054</v>
      </c>
      <c r="G163" s="1">
        <f t="shared" ref="G163:G166" si="49">ABS((F163-F162)/F163)*100</f>
        <v>0.12362951671816694</v>
      </c>
    </row>
    <row r="164" spans="1:9" x14ac:dyDescent="0.25">
      <c r="A164" s="1">
        <v>3</v>
      </c>
      <c r="B164" s="1">
        <f t="shared" si="44"/>
        <v>3.7210873823617776</v>
      </c>
      <c r="C164" s="1">
        <f t="shared" si="45"/>
        <v>3.7256934391550054</v>
      </c>
      <c r="D164" s="1">
        <f t="shared" si="46"/>
        <v>1.8748318639778994E-2</v>
      </c>
      <c r="E164" s="1">
        <f t="shared" si="47"/>
        <v>-3.794474321878738E-4</v>
      </c>
      <c r="F164" s="1">
        <f t="shared" si="48"/>
        <v>3.7256020664136131</v>
      </c>
      <c r="G164" s="1">
        <f t="shared" si="49"/>
        <v>2.4525630962036098E-3</v>
      </c>
      <c r="I164" t="s">
        <v>15</v>
      </c>
    </row>
    <row r="165" spans="1:9" x14ac:dyDescent="0.25">
      <c r="A165" s="2">
        <v>4</v>
      </c>
      <c r="B165" s="2">
        <f t="shared" si="44"/>
        <v>3.7256934391550054</v>
      </c>
      <c r="C165" s="2">
        <f t="shared" si="45"/>
        <v>3.7256020664136131</v>
      </c>
      <c r="D165" s="2">
        <f t="shared" si="46"/>
        <v>-3.794474321878738E-4</v>
      </c>
      <c r="E165" s="2">
        <f t="shared" si="47"/>
        <v>4.5758690347952324E-7</v>
      </c>
      <c r="F165" s="6">
        <f t="shared" si="48"/>
        <v>3.7256021764699896</v>
      </c>
      <c r="G165" s="2">
        <f t="shared" si="49"/>
        <v>2.9540560490263384E-6</v>
      </c>
    </row>
    <row r="166" spans="1:9" x14ac:dyDescent="0.25">
      <c r="A166" s="1">
        <v>5</v>
      </c>
      <c r="B166" s="1">
        <f t="shared" si="44"/>
        <v>3.7256020664136131</v>
      </c>
      <c r="C166" s="1">
        <f t="shared" si="45"/>
        <v>3.7256021764699896</v>
      </c>
      <c r="D166" s="1">
        <f t="shared" si="46"/>
        <v>4.5758690347952324E-7</v>
      </c>
      <c r="E166" s="1">
        <f t="shared" si="47"/>
        <v>1.1117329279386468E-11</v>
      </c>
      <c r="F166" s="1">
        <f t="shared" si="48"/>
        <v>3.7256021764726635</v>
      </c>
      <c r="G166" s="1">
        <f t="shared" si="49"/>
        <v>7.1769904725544075E-11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A5B4-60DA-4EC0-865F-CC85D7385991}">
  <dimension ref="A19:K92"/>
  <sheetViews>
    <sheetView topLeftCell="A50" workbookViewId="0">
      <selection activeCell="K92" sqref="K92"/>
    </sheetView>
  </sheetViews>
  <sheetFormatPr baseColWidth="10" defaultRowHeight="15" x14ac:dyDescent="0.25"/>
  <cols>
    <col min="4" max="4" width="18.5703125" customWidth="1"/>
    <col min="6" max="6" width="15.7109375" customWidth="1"/>
  </cols>
  <sheetData>
    <row r="19" spans="1:11" x14ac:dyDescent="0.25">
      <c r="A19" t="s">
        <v>4</v>
      </c>
    </row>
    <row r="26" spans="1:11" x14ac:dyDescent="0.25">
      <c r="A26" s="17" t="s">
        <v>0</v>
      </c>
      <c r="B26" s="17" t="s">
        <v>26</v>
      </c>
      <c r="C26" s="17" t="s">
        <v>5</v>
      </c>
      <c r="D26" s="17" t="s">
        <v>27</v>
      </c>
      <c r="E26" s="17" t="s">
        <v>28</v>
      </c>
      <c r="F26" s="17" t="s">
        <v>29</v>
      </c>
      <c r="G26" s="17" t="s">
        <v>11</v>
      </c>
    </row>
    <row r="27" spans="1:11" x14ac:dyDescent="0.25">
      <c r="A27" s="27">
        <v>0</v>
      </c>
      <c r="B27" s="27">
        <v>1.5</v>
      </c>
      <c r="C27" s="27">
        <f t="shared" ref="C27:C31" si="0">B27^3*EXP(0.8*B27) - 20</f>
        <v>-8.7946053857641502</v>
      </c>
      <c r="D27" s="27">
        <f t="shared" ref="D27:D31" si="1">EXP(0.8*B27)*(3*B27^2 + 0.8*B27^3)</f>
        <v>31.375104919860377</v>
      </c>
      <c r="E27" s="27">
        <f>-C27/D27</f>
        <v>0.28030521039619483</v>
      </c>
      <c r="F27" s="27">
        <f>B27 + E27</f>
        <v>1.7803052103961949</v>
      </c>
      <c r="G27" s="27">
        <f t="shared" ref="G27:G31" si="2">ABS(C27)</f>
        <v>8.7946053857641502</v>
      </c>
      <c r="J27" s="30" t="s">
        <v>33</v>
      </c>
      <c r="K27" s="30"/>
    </row>
    <row r="28" spans="1:11" x14ac:dyDescent="0.25">
      <c r="A28" s="27">
        <v>1</v>
      </c>
      <c r="B28" s="27">
        <f t="shared" ref="B28:B31" si="3">B27-(C27/D27)</f>
        <v>1.7803052103961949</v>
      </c>
      <c r="C28" s="27">
        <f t="shared" si="0"/>
        <v>3.4436253224582209</v>
      </c>
      <c r="D28" s="27">
        <f t="shared" si="1"/>
        <v>58.259854552698428</v>
      </c>
      <c r="E28" s="27">
        <f t="shared" ref="E28:E31" si="4">C28/D28</f>
        <v>5.910803157504145E-2</v>
      </c>
      <c r="F28" s="27">
        <f t="shared" ref="F28:F31" si="5">B28+E28</f>
        <v>1.8394132419712363</v>
      </c>
      <c r="G28" s="27">
        <f t="shared" si="2"/>
        <v>3.4436253224582209</v>
      </c>
      <c r="J28" s="30" t="s">
        <v>35</v>
      </c>
      <c r="K28" s="30"/>
    </row>
    <row r="29" spans="1:11" x14ac:dyDescent="0.25">
      <c r="A29" s="27">
        <v>2</v>
      </c>
      <c r="B29" s="27">
        <f t="shared" si="3"/>
        <v>1.7211971788211535</v>
      </c>
      <c r="C29" s="27">
        <f t="shared" si="0"/>
        <v>0.20677596094488493</v>
      </c>
      <c r="D29" s="27">
        <f t="shared" si="1"/>
        <v>51.385283216098216</v>
      </c>
      <c r="E29" s="27">
        <f t="shared" si="4"/>
        <v>4.0240307730775573E-3</v>
      </c>
      <c r="F29" s="27">
        <f t="shared" si="5"/>
        <v>1.725221209594231</v>
      </c>
      <c r="G29" s="27">
        <f t="shared" si="2"/>
        <v>0.20677596094488493</v>
      </c>
    </row>
    <row r="30" spans="1:11" x14ac:dyDescent="0.25">
      <c r="A30" s="27">
        <v>3</v>
      </c>
      <c r="B30" s="27">
        <f t="shared" si="3"/>
        <v>1.7171731480480761</v>
      </c>
      <c r="C30" s="27">
        <f t="shared" si="0"/>
        <v>8.9012891989170839E-4</v>
      </c>
      <c r="D30" s="27">
        <f t="shared" si="1"/>
        <v>50.943414564425375</v>
      </c>
      <c r="E30" s="27">
        <f t="shared" si="4"/>
        <v>1.7472894730407414E-5</v>
      </c>
      <c r="F30" s="27">
        <f t="shared" si="5"/>
        <v>1.7171906209428065</v>
      </c>
      <c r="G30" s="27">
        <f t="shared" si="2"/>
        <v>8.9012891989170839E-4</v>
      </c>
    </row>
    <row r="31" spans="1:11" x14ac:dyDescent="0.25">
      <c r="A31" s="28">
        <v>4</v>
      </c>
      <c r="B31" s="29">
        <f t="shared" si="3"/>
        <v>1.7171556751533457</v>
      </c>
      <c r="C31" s="28">
        <f t="shared" si="0"/>
        <v>1.6700891336540735E-8</v>
      </c>
      <c r="D31" s="28">
        <f t="shared" si="1"/>
        <v>50.941502940720255</v>
      </c>
      <c r="E31" s="28">
        <f t="shared" si="4"/>
        <v>3.2784449559674892E-10</v>
      </c>
      <c r="F31" s="28">
        <f t="shared" si="5"/>
        <v>1.7171556754811901</v>
      </c>
      <c r="G31" s="28">
        <f t="shared" si="2"/>
        <v>1.6700891336540735E-8</v>
      </c>
      <c r="H31" t="s">
        <v>15</v>
      </c>
    </row>
    <row r="33" spans="1:11" x14ac:dyDescent="0.25">
      <c r="A33" t="s">
        <v>17</v>
      </c>
    </row>
    <row r="42" spans="1:11" x14ac:dyDescent="0.25">
      <c r="A42" s="17" t="s">
        <v>0</v>
      </c>
      <c r="B42" s="17" t="s">
        <v>26</v>
      </c>
      <c r="C42" s="17" t="s">
        <v>5</v>
      </c>
      <c r="D42" s="17" t="s">
        <v>27</v>
      </c>
      <c r="E42" s="17" t="s">
        <v>28</v>
      </c>
      <c r="F42" s="17" t="s">
        <v>29</v>
      </c>
      <c r="G42" s="17" t="s">
        <v>11</v>
      </c>
      <c r="J42" s="30" t="s">
        <v>33</v>
      </c>
      <c r="K42" s="30"/>
    </row>
    <row r="43" spans="1:11" x14ac:dyDescent="0.25">
      <c r="A43" s="18">
        <v>0</v>
      </c>
      <c r="B43" s="18">
        <v>5</v>
      </c>
      <c r="C43" s="18">
        <f t="shared" ref="C43:C46" si="6">3*SIN(0.5*B43) - 0.5*B43 + 2</f>
        <v>1.2954164323118698</v>
      </c>
      <c r="D43" s="18">
        <f t="shared" ref="D43:D46" si="7">1.5*COS(0.5*B43) - 0.5</f>
        <v>-1.7017154233204006</v>
      </c>
      <c r="E43" s="18">
        <f t="shared" ref="E43:E44" si="8">-C43/D43</f>
        <v>0.76124151815245522</v>
      </c>
      <c r="F43" s="18">
        <f>B43 + E43</f>
        <v>5.7612415181524552</v>
      </c>
      <c r="G43" s="18">
        <f t="shared" ref="G43:G46" si="9">ABS(C43)</f>
        <v>1.2954164323118698</v>
      </c>
      <c r="J43" s="30" t="s">
        <v>36</v>
      </c>
      <c r="K43" s="30"/>
    </row>
    <row r="44" spans="1:11" x14ac:dyDescent="0.25">
      <c r="A44" s="18">
        <v>1</v>
      </c>
      <c r="B44" s="18">
        <f t="shared" ref="B44:B46" si="10">B43-(C43/D43)</f>
        <v>5.7612415181524552</v>
      </c>
      <c r="C44" s="21">
        <f t="shared" si="6"/>
        <v>-0.1065617807394954</v>
      </c>
      <c r="D44" s="22">
        <f t="shared" si="7"/>
        <v>-1.9492094998702132</v>
      </c>
      <c r="E44" s="18">
        <f t="shared" si="8"/>
        <v>-5.4669229113951452E-2</v>
      </c>
      <c r="F44" s="18">
        <f t="shared" ref="F44:F46" si="11">B44+E44</f>
        <v>5.7065722890385038</v>
      </c>
      <c r="G44" s="18">
        <f t="shared" si="9"/>
        <v>0.1065617807394954</v>
      </c>
    </row>
    <row r="45" spans="1:11" x14ac:dyDescent="0.25">
      <c r="A45" s="19">
        <v>2</v>
      </c>
      <c r="B45" s="23">
        <f t="shared" si="10"/>
        <v>5.7065722890385038</v>
      </c>
      <c r="C45" s="24">
        <f t="shared" si="6"/>
        <v>-2.9902894015521042E-4</v>
      </c>
      <c r="D45" s="25">
        <f t="shared" si="7"/>
        <v>-1.9380901380525537</v>
      </c>
      <c r="E45" s="24">
        <f>-C45-D45</f>
        <v>1.9383891669927089</v>
      </c>
      <c r="F45" s="25">
        <f t="shared" si="11"/>
        <v>7.6449614560312131</v>
      </c>
      <c r="G45" s="19">
        <f t="shared" si="9"/>
        <v>2.9902894015521042E-4</v>
      </c>
      <c r="H45" t="s">
        <v>15</v>
      </c>
    </row>
    <row r="46" spans="1:11" x14ac:dyDescent="0.25">
      <c r="A46" s="18">
        <v>3</v>
      </c>
      <c r="B46" s="26">
        <f t="shared" si="10"/>
        <v>5.7064179985159509</v>
      </c>
      <c r="C46" s="21">
        <f t="shared" si="6"/>
        <v>-2.5384503388181656E-9</v>
      </c>
      <c r="D46" s="22">
        <f t="shared" si="7"/>
        <v>-1.9380572318163194</v>
      </c>
      <c r="E46" s="22">
        <f>A46-D46</f>
        <v>4.9380572318163196</v>
      </c>
      <c r="F46" s="26">
        <f t="shared" si="11"/>
        <v>10.64447523033227</v>
      </c>
      <c r="G46" s="18">
        <f t="shared" si="9"/>
        <v>2.5384503388181656E-9</v>
      </c>
    </row>
    <row r="48" spans="1:11" x14ac:dyDescent="0.25">
      <c r="A48" t="s">
        <v>19</v>
      </c>
    </row>
    <row r="56" spans="1:7" x14ac:dyDescent="0.25">
      <c r="A56" s="15" t="s">
        <v>30</v>
      </c>
    </row>
    <row r="57" spans="1:7" x14ac:dyDescent="0.25">
      <c r="A57" s="17" t="s">
        <v>0</v>
      </c>
      <c r="B57" s="17" t="s">
        <v>26</v>
      </c>
      <c r="C57" s="17" t="s">
        <v>5</v>
      </c>
      <c r="D57" s="17" t="s">
        <v>27</v>
      </c>
      <c r="E57" s="17" t="s">
        <v>28</v>
      </c>
      <c r="F57" s="17" t="s">
        <v>29</v>
      </c>
      <c r="G57" s="17" t="s">
        <v>11</v>
      </c>
    </row>
    <row r="58" spans="1:7" x14ac:dyDescent="0.25">
      <c r="A58" s="18">
        <v>0</v>
      </c>
      <c r="B58" s="18">
        <v>-6</v>
      </c>
      <c r="C58" s="18">
        <f t="shared" ref="C58:C66" si="12">B58^3 - B58^2*EXP(-0.5*B58) - 3*B58 + 1</f>
        <v>-920.07932923475607</v>
      </c>
      <c r="D58" s="18">
        <f t="shared" ref="D58:D66" si="13">3*B58^2 - 2*B58*EXP(-0.5*B58) + 0.5*B58^2*EXP(-0.5*B58) - 3</f>
        <v>707.56610769563008</v>
      </c>
      <c r="E58" s="18">
        <f t="shared" ref="E58:E66" si="14">-C58/D58</f>
        <v>1.3003439809055151</v>
      </c>
      <c r="F58" s="18">
        <f>B58 + E58</f>
        <v>-4.6996560190944852</v>
      </c>
      <c r="G58" s="18">
        <f t="shared" ref="G58:G66" si="15">ABS(C58)</f>
        <v>920.07932923475607</v>
      </c>
    </row>
    <row r="59" spans="1:7" x14ac:dyDescent="0.25">
      <c r="A59" s="18">
        <v>1</v>
      </c>
      <c r="B59" s="18">
        <f t="shared" ref="B59:B66" si="16">B58-(C58/D58)</f>
        <v>-4.6996560190944852</v>
      </c>
      <c r="C59" s="18">
        <f t="shared" si="12"/>
        <v>-320.25374195517446</v>
      </c>
      <c r="D59" s="18">
        <f t="shared" si="13"/>
        <v>277.57674438389347</v>
      </c>
      <c r="E59" s="18">
        <f t="shared" si="14"/>
        <v>1.1537484621271368</v>
      </c>
      <c r="F59" s="18">
        <f t="shared" ref="F59:F66" si="17">B59+E59</f>
        <v>-3.5459075569673484</v>
      </c>
      <c r="G59" s="18">
        <f t="shared" si="15"/>
        <v>320.25374195517446</v>
      </c>
    </row>
    <row r="60" spans="1:7" x14ac:dyDescent="0.25">
      <c r="A60" s="18">
        <v>2</v>
      </c>
      <c r="B60" s="18">
        <f t="shared" si="16"/>
        <v>-3.5459075569673484</v>
      </c>
      <c r="C60" s="18">
        <f t="shared" si="12"/>
        <v>-106.98190908872336</v>
      </c>
      <c r="D60" s="18">
        <f t="shared" si="13"/>
        <v>113.49620195243469</v>
      </c>
      <c r="E60" s="18">
        <f t="shared" si="14"/>
        <v>0.94260342855841628</v>
      </c>
      <c r="F60" s="18">
        <f t="shared" si="17"/>
        <v>-2.603304128408932</v>
      </c>
      <c r="G60" s="18">
        <f t="shared" si="15"/>
        <v>106.98190908872336</v>
      </c>
    </row>
    <row r="61" spans="1:7" x14ac:dyDescent="0.25">
      <c r="A61" s="18">
        <v>3</v>
      </c>
      <c r="B61" s="18">
        <f t="shared" si="16"/>
        <v>-2.603304128408932</v>
      </c>
      <c r="C61" s="18">
        <f t="shared" si="12"/>
        <v>-33.741826673305653</v>
      </c>
      <c r="D61" s="18">
        <f t="shared" si="13"/>
        <v>48.922078648561019</v>
      </c>
      <c r="E61" s="18">
        <f t="shared" si="14"/>
        <v>0.68970549914068557</v>
      </c>
      <c r="F61" s="18">
        <f t="shared" si="17"/>
        <v>-1.9135986292682463</v>
      </c>
      <c r="G61" s="18">
        <f t="shared" si="15"/>
        <v>33.741826673305653</v>
      </c>
    </row>
    <row r="62" spans="1:7" x14ac:dyDescent="0.25">
      <c r="A62" s="18">
        <v>4</v>
      </c>
      <c r="B62" s="18">
        <f t="shared" si="16"/>
        <v>-1.9135986292682463</v>
      </c>
      <c r="C62" s="18">
        <f t="shared" si="12"/>
        <v>-9.7996385910100745</v>
      </c>
      <c r="D62" s="18">
        <f t="shared" si="13"/>
        <v>22.71566786521598</v>
      </c>
      <c r="E62" s="18">
        <f t="shared" si="14"/>
        <v>0.431404379090084</v>
      </c>
      <c r="F62" s="18">
        <f t="shared" si="17"/>
        <v>-1.4821942501781624</v>
      </c>
      <c r="G62" s="18">
        <f t="shared" si="15"/>
        <v>9.7996385910100745</v>
      </c>
    </row>
    <row r="63" spans="1:7" x14ac:dyDescent="0.25">
      <c r="A63" s="18">
        <v>5</v>
      </c>
      <c r="B63" s="18">
        <f t="shared" si="16"/>
        <v>-1.4821942501781624</v>
      </c>
      <c r="C63" s="18">
        <f t="shared" si="12"/>
        <v>-2.4192643477551368</v>
      </c>
      <c r="D63" s="18">
        <f t="shared" si="13"/>
        <v>12.115494311466493</v>
      </c>
      <c r="E63" s="18">
        <f t="shared" si="14"/>
        <v>0.1996835032529764</v>
      </c>
      <c r="F63" s="18">
        <f t="shared" si="17"/>
        <v>-1.282510746925186</v>
      </c>
      <c r="G63" s="18">
        <f t="shared" si="15"/>
        <v>2.4192643477551368</v>
      </c>
    </row>
    <row r="64" spans="1:7" x14ac:dyDescent="0.25">
      <c r="A64" s="18">
        <v>6</v>
      </c>
      <c r="B64" s="18">
        <f t="shared" si="16"/>
        <v>-1.282510746925186</v>
      </c>
      <c r="C64" s="18">
        <f t="shared" si="12"/>
        <v>-0.38529915262411496</v>
      </c>
      <c r="D64" s="18">
        <f t="shared" si="13"/>
        <v>8.3667834565882089</v>
      </c>
      <c r="E64" s="18">
        <f t="shared" si="14"/>
        <v>4.6051048724192932E-2</v>
      </c>
      <c r="F64" s="18">
        <f t="shared" si="17"/>
        <v>-1.236459698200993</v>
      </c>
      <c r="G64" s="18">
        <f t="shared" si="15"/>
        <v>0.38529915262411496</v>
      </c>
    </row>
    <row r="65" spans="1:11" x14ac:dyDescent="0.25">
      <c r="A65" s="18">
        <v>7</v>
      </c>
      <c r="B65" s="18">
        <f t="shared" si="16"/>
        <v>-1.236459698200993</v>
      </c>
      <c r="C65" s="18">
        <f t="shared" si="12"/>
        <v>-1.7924245673682115E-2</v>
      </c>
      <c r="D65" s="18">
        <f t="shared" si="13"/>
        <v>7.5938285496994133</v>
      </c>
      <c r="E65" s="18">
        <f t="shared" si="14"/>
        <v>2.3603700763551753E-3</v>
      </c>
      <c r="F65" s="18">
        <f t="shared" si="17"/>
        <v>-1.2340993281246377</v>
      </c>
      <c r="G65" s="18">
        <f t="shared" si="15"/>
        <v>1.7924245673682115E-2</v>
      </c>
    </row>
    <row r="66" spans="1:11" x14ac:dyDescent="0.25">
      <c r="A66" s="19">
        <v>8</v>
      </c>
      <c r="B66" s="20">
        <f t="shared" si="16"/>
        <v>-1.2340993281246377</v>
      </c>
      <c r="C66" s="19">
        <f t="shared" si="12"/>
        <v>-4.5729740663968954E-5</v>
      </c>
      <c r="D66" s="19">
        <f t="shared" si="13"/>
        <v>7.555094865124385</v>
      </c>
      <c r="E66" s="19">
        <f t="shared" si="14"/>
        <v>6.0528347400461228E-6</v>
      </c>
      <c r="F66" s="19">
        <f t="shared" si="17"/>
        <v>-1.2340932752898977</v>
      </c>
      <c r="G66" s="19">
        <f t="shared" si="15"/>
        <v>4.5729740663968954E-5</v>
      </c>
      <c r="H66" t="s">
        <v>15</v>
      </c>
    </row>
    <row r="68" spans="1:11" x14ac:dyDescent="0.25">
      <c r="A68" s="15" t="s">
        <v>31</v>
      </c>
      <c r="J68" s="30" t="s">
        <v>33</v>
      </c>
      <c r="K68" s="30"/>
    </row>
    <row r="69" spans="1:11" x14ac:dyDescent="0.25">
      <c r="A69" s="17" t="s">
        <v>0</v>
      </c>
      <c r="B69" s="17" t="s">
        <v>26</v>
      </c>
      <c r="C69" s="17" t="s">
        <v>5</v>
      </c>
      <c r="D69" s="17" t="s">
        <v>27</v>
      </c>
      <c r="E69" s="17" t="s">
        <v>28</v>
      </c>
      <c r="F69" s="17" t="s">
        <v>29</v>
      </c>
      <c r="G69" s="17" t="s">
        <v>11</v>
      </c>
      <c r="J69" s="30" t="s">
        <v>39</v>
      </c>
      <c r="K69" s="30"/>
    </row>
    <row r="70" spans="1:11" x14ac:dyDescent="0.25">
      <c r="A70" s="18">
        <v>0</v>
      </c>
      <c r="B70" s="18">
        <v>-2</v>
      </c>
      <c r="C70" s="18">
        <f t="shared" ref="C70:C74" si="18">B70^3 - B70^2*EXP(-0.5*B70) - 3*B70 + 1</f>
        <v>-11.873127313836179</v>
      </c>
      <c r="D70" s="18">
        <f t="shared" ref="D70:D74" si="19">3*B70^2 - 2*B70*EXP(-0.5*B70) + 0.5*B70^2*EXP(-0.5*B70) - 3</f>
        <v>25.309690970754268</v>
      </c>
      <c r="E70" s="18">
        <f t="shared" ref="E70:E74" si="20">-C70/D70</f>
        <v>0.46911387924711356</v>
      </c>
      <c r="F70" s="18">
        <f t="shared" ref="F70:F71" si="21">B70 + E70</f>
        <v>-1.5308861207528865</v>
      </c>
      <c r="G70" s="18">
        <f t="shared" ref="G70:G74" si="22">ABS(C70)</f>
        <v>11.873127313836179</v>
      </c>
      <c r="J70" s="30" t="s">
        <v>38</v>
      </c>
      <c r="K70" s="30"/>
    </row>
    <row r="71" spans="1:11" x14ac:dyDescent="0.25">
      <c r="A71" s="18">
        <v>1</v>
      </c>
      <c r="B71" s="18">
        <f t="shared" ref="B71:B74" si="23">B70-(C70/D70)</f>
        <v>-1.5308861207528865</v>
      </c>
      <c r="C71" s="18">
        <f t="shared" si="18"/>
        <v>-3.03378681142694</v>
      </c>
      <c r="D71" s="18">
        <f t="shared" si="19"/>
        <v>13.132804936086512</v>
      </c>
      <c r="E71" s="18">
        <f t="shared" si="20"/>
        <v>0.23100829001812526</v>
      </c>
      <c r="F71" s="18">
        <f t="shared" si="21"/>
        <v>-1.2998778307347614</v>
      </c>
      <c r="G71" s="18">
        <f t="shared" si="22"/>
        <v>3.03378681142694</v>
      </c>
      <c r="J71" s="30" t="s">
        <v>37</v>
      </c>
      <c r="K71" s="30"/>
    </row>
    <row r="72" spans="1:11" x14ac:dyDescent="0.25">
      <c r="A72" s="18">
        <v>2</v>
      </c>
      <c r="B72" s="18">
        <f t="shared" si="23"/>
        <v>-1.2998778307347614</v>
      </c>
      <c r="C72" s="18">
        <f t="shared" si="18"/>
        <v>-0.53320504101243582</v>
      </c>
      <c r="D72" s="18">
        <f t="shared" si="19"/>
        <v>8.6669099877047771</v>
      </c>
      <c r="E72" s="18">
        <f t="shared" si="20"/>
        <v>6.1521931319104696E-2</v>
      </c>
      <c r="F72" s="18">
        <f t="shared" ref="F72:F74" si="24">B72+E72</f>
        <v>-1.2383558994156567</v>
      </c>
      <c r="G72" s="18">
        <f t="shared" si="22"/>
        <v>0.53320504101243582</v>
      </c>
    </row>
    <row r="73" spans="1:11" x14ac:dyDescent="0.25">
      <c r="A73" s="18">
        <v>3</v>
      </c>
      <c r="B73" s="18">
        <f t="shared" si="23"/>
        <v>-1.2383558994156567</v>
      </c>
      <c r="C73" s="18">
        <f t="shared" si="18"/>
        <v>-3.2353224373387057E-2</v>
      </c>
      <c r="D73" s="18">
        <f t="shared" si="19"/>
        <v>7.6250072164898075</v>
      </c>
      <c r="E73" s="18">
        <f t="shared" si="20"/>
        <v>4.2430418037402136E-3</v>
      </c>
      <c r="F73" s="18">
        <f t="shared" si="24"/>
        <v>-1.2341128576119165</v>
      </c>
      <c r="G73" s="18">
        <f t="shared" si="22"/>
        <v>3.2353224373387057E-2</v>
      </c>
    </row>
    <row r="74" spans="1:11" x14ac:dyDescent="0.25">
      <c r="A74" s="19">
        <v>4</v>
      </c>
      <c r="B74" s="20">
        <f t="shared" si="23"/>
        <v>-1.2341128576119165</v>
      </c>
      <c r="C74" s="19">
        <f t="shared" si="18"/>
        <v>-1.4794780078108971E-4</v>
      </c>
      <c r="D74" s="19">
        <f t="shared" si="19"/>
        <v>7.5553166403749916</v>
      </c>
      <c r="E74" s="19">
        <f t="shared" si="20"/>
        <v>1.9581945777158936E-5</v>
      </c>
      <c r="F74" s="19">
        <f t="shared" si="24"/>
        <v>-1.2340932756661394</v>
      </c>
      <c r="G74" s="19">
        <f t="shared" si="22"/>
        <v>1.4794780078108971E-4</v>
      </c>
      <c r="H74" t="s">
        <v>15</v>
      </c>
    </row>
    <row r="75" spans="1:11" x14ac:dyDescent="0.25">
      <c r="A75" s="15"/>
    </row>
    <row r="76" spans="1:11" x14ac:dyDescent="0.25">
      <c r="A76" s="15" t="s">
        <v>32</v>
      </c>
    </row>
    <row r="77" spans="1:11" x14ac:dyDescent="0.25">
      <c r="A77" s="17" t="s">
        <v>0</v>
      </c>
      <c r="B77" s="17" t="s">
        <v>26</v>
      </c>
      <c r="C77" s="17" t="s">
        <v>5</v>
      </c>
      <c r="D77" s="17" t="s">
        <v>27</v>
      </c>
      <c r="E77" s="17" t="s">
        <v>28</v>
      </c>
      <c r="F77" s="17" t="s">
        <v>29</v>
      </c>
      <c r="G77" s="17" t="s">
        <v>11</v>
      </c>
    </row>
    <row r="78" spans="1:11" x14ac:dyDescent="0.25">
      <c r="A78" s="18">
        <v>1</v>
      </c>
      <c r="B78" s="18">
        <v>0.6</v>
      </c>
      <c r="C78" s="18">
        <f t="shared" ref="C78:C80" si="25">B78^3 - B78^2*EXP(-0.5*B78) - 3*B78 + 1</f>
        <v>-0.85069455944541827</v>
      </c>
      <c r="D78" s="18">
        <f t="shared" ref="D78:D80" si="26">3*B78^2 - 2*B78*EXP(-0.5*B78) + 0.5*B78^2*EXP(-0.5*B78) - 3</f>
        <v>-2.6756345850953522</v>
      </c>
      <c r="E78" s="18">
        <f t="shared" ref="E78:E80" si="27">-C78/D78</f>
        <v>-0.31794123315052825</v>
      </c>
      <c r="F78" s="18">
        <f t="shared" ref="F78:F79" si="28">B78 + E78</f>
        <v>0.28205876684947173</v>
      </c>
      <c r="G78" s="18">
        <f t="shared" ref="G78:G79" si="29">ABS(C78)</f>
        <v>0.85069455944541827</v>
      </c>
    </row>
    <row r="79" spans="1:11" x14ac:dyDescent="0.25">
      <c r="A79" s="18">
        <v>2</v>
      </c>
      <c r="B79" s="18">
        <f t="shared" ref="B79:B80" si="30">B78-(C78/D78)</f>
        <v>0.28205876684947173</v>
      </c>
      <c r="C79" s="18">
        <f t="shared" si="25"/>
        <v>0.1071709880329742</v>
      </c>
      <c r="D79" s="18">
        <f t="shared" si="26"/>
        <v>-3.2166979578449757</v>
      </c>
      <c r="E79" s="18">
        <f t="shared" si="27"/>
        <v>3.3317081503285849E-2</v>
      </c>
      <c r="F79" s="18">
        <f t="shared" si="28"/>
        <v>0.31537584835275756</v>
      </c>
      <c r="G79" s="18">
        <f t="shared" si="29"/>
        <v>0.1071709880329742</v>
      </c>
    </row>
    <row r="80" spans="1:11" x14ac:dyDescent="0.25">
      <c r="A80" s="19">
        <v>3</v>
      </c>
      <c r="B80" s="20">
        <f t="shared" si="30"/>
        <v>0.31537584835275756</v>
      </c>
      <c r="C80" s="19">
        <f t="shared" si="25"/>
        <v>2.8829320711165618E-4</v>
      </c>
      <c r="D80" s="19">
        <f t="shared" si="26"/>
        <v>-3.1978734960969697</v>
      </c>
      <c r="E80" s="19">
        <f t="shared" si="27"/>
        <v>9.0151535845154718E-5</v>
      </c>
      <c r="F80" s="19">
        <f>B80+E80</f>
        <v>0.31546599988860269</v>
      </c>
      <c r="G80" s="19">
        <f>ABS(C80)</f>
        <v>2.8829320711165618E-4</v>
      </c>
      <c r="H80" t="s">
        <v>15</v>
      </c>
    </row>
    <row r="82" spans="1:11" x14ac:dyDescent="0.25">
      <c r="A82" t="s">
        <v>23</v>
      </c>
    </row>
    <row r="87" spans="1:11" x14ac:dyDescent="0.25">
      <c r="J87" s="30" t="s">
        <v>41</v>
      </c>
      <c r="K87" s="30"/>
    </row>
    <row r="88" spans="1:11" x14ac:dyDescent="0.25">
      <c r="J88" s="30" t="s">
        <v>42</v>
      </c>
      <c r="K88" s="30"/>
    </row>
    <row r="89" spans="1:11" x14ac:dyDescent="0.25">
      <c r="A89" s="17" t="s">
        <v>0</v>
      </c>
      <c r="B89" s="17" t="s">
        <v>26</v>
      </c>
      <c r="C89" s="17" t="s">
        <v>5</v>
      </c>
      <c r="D89" s="17" t="s">
        <v>27</v>
      </c>
      <c r="E89" s="17" t="s">
        <v>28</v>
      </c>
      <c r="F89" s="17" t="s">
        <v>29</v>
      </c>
      <c r="G89" s="17" t="s">
        <v>11</v>
      </c>
      <c r="H89" s="16"/>
    </row>
    <row r="90" spans="1:11" x14ac:dyDescent="0.25">
      <c r="A90" s="18">
        <v>0</v>
      </c>
      <c r="B90" s="18">
        <v>3.7</v>
      </c>
      <c r="C90" s="18">
        <f t="shared" ref="C90:C92" si="31">COS(B90)^2 - 0.5* B90 *EXP(0.3*B90) + 5</f>
        <v>0.10571063408119485</v>
      </c>
      <c r="D90" s="18">
        <f t="shared" ref="D90:D92" si="32">-SIN(2*B90) - 0.5*EXP(0.3*B90) - 0.15*B90*EXP(0.3*B90)</f>
        <v>-4.0999562019412652</v>
      </c>
      <c r="E90" s="18">
        <f t="shared" ref="E90:E92" si="33">-C90/D90</f>
        <v>2.5783356912725684E-2</v>
      </c>
      <c r="F90" s="18">
        <f>B90 + E90</f>
        <v>3.7257833569127259</v>
      </c>
      <c r="G90" s="18">
        <f t="shared" ref="G90:G92" si="34">ABS(C90)</f>
        <v>0.10571063408119485</v>
      </c>
      <c r="H90" s="15"/>
    </row>
    <row r="91" spans="1:11" x14ac:dyDescent="0.25">
      <c r="A91" s="18">
        <v>1</v>
      </c>
      <c r="B91" s="18">
        <f t="shared" ref="B91:B92" si="35">B90-(C90/D90)</f>
        <v>3.7257833569127259</v>
      </c>
      <c r="C91" s="18">
        <f t="shared" si="31"/>
        <v>-7.5332103533121142E-4</v>
      </c>
      <c r="D91" s="18">
        <f t="shared" si="32"/>
        <v>-4.158050208254533</v>
      </c>
      <c r="E91" s="18">
        <f t="shared" si="33"/>
        <v>-1.8117170250511253E-4</v>
      </c>
      <c r="F91" s="18">
        <f t="shared" ref="F91:F92" si="36">B91+E91</f>
        <v>3.7256021852102208</v>
      </c>
      <c r="G91" s="18">
        <f t="shared" si="34"/>
        <v>7.5332103533121142E-4</v>
      </c>
      <c r="H91" s="15"/>
    </row>
    <row r="92" spans="1:11" x14ac:dyDescent="0.25">
      <c r="A92" s="19">
        <v>2</v>
      </c>
      <c r="B92" s="20">
        <f t="shared" si="35"/>
        <v>3.7256021852102208</v>
      </c>
      <c r="C92" s="19">
        <f t="shared" si="31"/>
        <v>-3.6327697294780137E-8</v>
      </c>
      <c r="D92" s="19">
        <f t="shared" si="32"/>
        <v>-4.15764916063815</v>
      </c>
      <c r="E92" s="19">
        <f t="shared" si="33"/>
        <v>-8.7375571846481297E-9</v>
      </c>
      <c r="F92" s="19">
        <f t="shared" si="36"/>
        <v>3.7256021764726635</v>
      </c>
      <c r="G92" s="19">
        <f t="shared" si="34"/>
        <v>3.6327697294780137E-8</v>
      </c>
      <c r="H92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BD4C-061B-460D-8B4A-AF5B19348E70}">
  <dimension ref="A19:L167"/>
  <sheetViews>
    <sheetView tabSelected="1" topLeftCell="A178" workbookViewId="0">
      <selection activeCell="C19" sqref="C19"/>
    </sheetView>
  </sheetViews>
  <sheetFormatPr baseColWidth="10" defaultRowHeight="15" x14ac:dyDescent="0.25"/>
  <cols>
    <col min="1" max="1" width="14.5703125" customWidth="1"/>
    <col min="3" max="3" width="17.42578125" customWidth="1"/>
    <col min="6" max="6" width="14.140625" customWidth="1"/>
    <col min="7" max="7" width="14.42578125" customWidth="1"/>
  </cols>
  <sheetData>
    <row r="19" spans="1:7" x14ac:dyDescent="0.25">
      <c r="A19" t="s">
        <v>4</v>
      </c>
    </row>
    <row r="24" spans="1:7" x14ac:dyDescent="0.25">
      <c r="A24" t="s">
        <v>48</v>
      </c>
    </row>
    <row r="26" spans="1:7" x14ac:dyDescent="0.25">
      <c r="A26" s="35" t="s">
        <v>49</v>
      </c>
      <c r="B26" s="35" t="s">
        <v>50</v>
      </c>
      <c r="C26" s="35" t="s">
        <v>51</v>
      </c>
      <c r="D26" s="35" t="s">
        <v>52</v>
      </c>
      <c r="E26" s="35" t="s">
        <v>53</v>
      </c>
      <c r="F26" s="35" t="s">
        <v>54</v>
      </c>
    </row>
    <row r="27" spans="1:7" x14ac:dyDescent="0.25">
      <c r="A27" s="36">
        <v>3</v>
      </c>
      <c r="B27" s="36">
        <v>4</v>
      </c>
      <c r="C27" s="36">
        <f t="shared" ref="C27:C36" si="0">+(A27+B27)/2</f>
        <v>3.5</v>
      </c>
      <c r="D27" s="37">
        <f>+(A27^3)-(EXP(0.8*A27))-20</f>
        <v>-4.0231763806416048</v>
      </c>
      <c r="E27" s="36">
        <f>+(B27^3)-(EXP(0.8*B27))-20</f>
        <v>19.467469802890648</v>
      </c>
      <c r="F27" s="36">
        <f>+(C27^3)-(EXP(0.8*C27))-20</f>
        <v>6.4303532289029448</v>
      </c>
    </row>
    <row r="28" spans="1:7" x14ac:dyDescent="0.25">
      <c r="A28" s="36">
        <f>A27</f>
        <v>3</v>
      </c>
      <c r="B28" s="36">
        <f>C27</f>
        <v>3.5</v>
      </c>
      <c r="C28" s="36">
        <f t="shared" si="0"/>
        <v>3.25</v>
      </c>
      <c r="D28" s="37">
        <f t="shared" ref="D28:F36" si="1">+(A28^3)-(EXP(0.8*A28))-20</f>
        <v>-4.0231763806416048</v>
      </c>
      <c r="E28" s="36">
        <f t="shared" si="1"/>
        <v>6.4303532289029448</v>
      </c>
      <c r="F28" s="36">
        <f t="shared" si="1"/>
        <v>0.86438696499831025</v>
      </c>
      <c r="G28" s="33"/>
    </row>
    <row r="29" spans="1:7" x14ac:dyDescent="0.25">
      <c r="A29" s="36">
        <f>A28</f>
        <v>3</v>
      </c>
      <c r="B29" s="38">
        <f>C28</f>
        <v>3.25</v>
      </c>
      <c r="C29" s="36">
        <f t="shared" si="0"/>
        <v>3.125</v>
      </c>
      <c r="D29" s="37">
        <f t="shared" si="1"/>
        <v>-4.0231763806416048</v>
      </c>
      <c r="E29" s="36">
        <f t="shared" si="1"/>
        <v>0.86438696499831025</v>
      </c>
      <c r="F29" s="36">
        <f t="shared" si="1"/>
        <v>-1.664915835703475</v>
      </c>
      <c r="G29" s="33"/>
    </row>
    <row r="30" spans="1:7" x14ac:dyDescent="0.25">
      <c r="A30" s="36">
        <f>C29</f>
        <v>3.125</v>
      </c>
      <c r="B30" s="38">
        <f>B29</f>
        <v>3.25</v>
      </c>
      <c r="C30" s="36">
        <f t="shared" si="0"/>
        <v>3.1875</v>
      </c>
      <c r="D30" s="37">
        <f t="shared" si="1"/>
        <v>-1.664915835703475</v>
      </c>
      <c r="E30" s="36">
        <f t="shared" si="1"/>
        <v>0.86438696499831025</v>
      </c>
      <c r="F30" s="36">
        <f t="shared" si="1"/>
        <v>-0.42160573578803451</v>
      </c>
      <c r="G30" s="33"/>
    </row>
    <row r="31" spans="1:7" x14ac:dyDescent="0.25">
      <c r="A31" s="36">
        <f>C30</f>
        <v>3.1875</v>
      </c>
      <c r="B31" s="38">
        <f>B30</f>
        <v>3.25</v>
      </c>
      <c r="C31" s="36">
        <f t="shared" si="0"/>
        <v>3.21875</v>
      </c>
      <c r="D31" s="37">
        <f t="shared" si="1"/>
        <v>-0.42160573578803451</v>
      </c>
      <c r="E31" s="36">
        <f t="shared" si="1"/>
        <v>0.86438696499831025</v>
      </c>
      <c r="F31" s="36">
        <f t="shared" si="1"/>
        <v>0.21606443330685821</v>
      </c>
      <c r="G31" s="33"/>
    </row>
    <row r="32" spans="1:7" x14ac:dyDescent="0.25">
      <c r="A32" s="36">
        <f>A31</f>
        <v>3.1875</v>
      </c>
      <c r="B32" s="36">
        <f>C31</f>
        <v>3.21875</v>
      </c>
      <c r="C32" s="36">
        <f t="shared" si="0"/>
        <v>3.203125</v>
      </c>
      <c r="D32" s="37">
        <f t="shared" si="1"/>
        <v>-0.42160573578803451</v>
      </c>
      <c r="E32" s="36">
        <f t="shared" si="1"/>
        <v>0.21606443330685821</v>
      </c>
      <c r="F32" s="36">
        <f t="shared" si="1"/>
        <v>-0.10410353645155368</v>
      </c>
      <c r="G32" s="33"/>
    </row>
    <row r="33" spans="1:12" x14ac:dyDescent="0.25">
      <c r="A33" s="36">
        <f>C32</f>
        <v>3.203125</v>
      </c>
      <c r="B33" s="36">
        <f>B32</f>
        <v>3.21875</v>
      </c>
      <c r="C33" s="36">
        <f t="shared" si="0"/>
        <v>3.2109375</v>
      </c>
      <c r="D33" s="37">
        <f t="shared" si="1"/>
        <v>-0.10410353645155368</v>
      </c>
      <c r="E33" s="36">
        <f t="shared" si="1"/>
        <v>0.21606443330685821</v>
      </c>
      <c r="F33" s="36">
        <f t="shared" si="1"/>
        <v>5.5647382134296208E-2</v>
      </c>
      <c r="G33" t="s">
        <v>15</v>
      </c>
    </row>
    <row r="34" spans="1:12" x14ac:dyDescent="0.25">
      <c r="A34" s="36">
        <f>A33</f>
        <v>3.203125</v>
      </c>
      <c r="B34" s="36">
        <f>C33</f>
        <v>3.2109375</v>
      </c>
      <c r="C34" s="36">
        <f t="shared" si="0"/>
        <v>3.20703125</v>
      </c>
      <c r="D34" s="37">
        <f t="shared" si="1"/>
        <v>-0.10410353645155368</v>
      </c>
      <c r="E34" s="36">
        <f t="shared" si="1"/>
        <v>5.5647382134296208E-2</v>
      </c>
      <c r="F34" s="36">
        <f t="shared" si="1"/>
        <v>-2.4311363882567605E-2</v>
      </c>
      <c r="G34" s="34"/>
    </row>
    <row r="35" spans="1:12" x14ac:dyDescent="0.25">
      <c r="A35" s="36">
        <f>C34</f>
        <v>3.20703125</v>
      </c>
      <c r="B35" s="36">
        <f>B34</f>
        <v>3.2109375</v>
      </c>
      <c r="C35" s="36">
        <f t="shared" si="0"/>
        <v>3.208984375</v>
      </c>
      <c r="D35" s="37">
        <f t="shared" si="1"/>
        <v>-2.4311363882567605E-2</v>
      </c>
      <c r="E35" s="36">
        <f t="shared" si="1"/>
        <v>5.5647382134296208E-2</v>
      </c>
      <c r="F35" s="36">
        <f t="shared" si="1"/>
        <v>1.5647189915139137E-2</v>
      </c>
      <c r="G35" s="33"/>
    </row>
    <row r="36" spans="1:12" x14ac:dyDescent="0.25">
      <c r="A36" s="40">
        <f>A35</f>
        <v>3.20703125</v>
      </c>
      <c r="B36" s="40">
        <f>C35</f>
        <v>3.208984375</v>
      </c>
      <c r="C36" s="43">
        <f t="shared" si="0"/>
        <v>3.2080078125</v>
      </c>
      <c r="D36" s="41">
        <f t="shared" si="1"/>
        <v>-2.4311363882567605E-2</v>
      </c>
      <c r="E36" s="40">
        <f t="shared" si="1"/>
        <v>1.5647189915139137E-2</v>
      </c>
      <c r="F36" s="40">
        <f t="shared" si="1"/>
        <v>-4.3372920982065466E-3</v>
      </c>
      <c r="G36" s="33"/>
    </row>
    <row r="37" spans="1:12" x14ac:dyDescent="0.25">
      <c r="G37" s="33"/>
      <c r="K37" s="30" t="s">
        <v>33</v>
      </c>
      <c r="L37" s="30"/>
    </row>
    <row r="38" spans="1:12" x14ac:dyDescent="0.25">
      <c r="A38" t="s">
        <v>55</v>
      </c>
      <c r="G38" s="33"/>
      <c r="K38" s="30" t="s">
        <v>35</v>
      </c>
      <c r="L38" s="30"/>
    </row>
    <row r="39" spans="1:12" x14ac:dyDescent="0.25">
      <c r="G39" s="33"/>
      <c r="K39" s="30" t="s">
        <v>34</v>
      </c>
      <c r="L39" s="30"/>
    </row>
    <row r="40" spans="1:12" x14ac:dyDescent="0.25">
      <c r="A40" s="35" t="s">
        <v>49</v>
      </c>
      <c r="B40" s="35" t="s">
        <v>50</v>
      </c>
      <c r="C40" s="35" t="s">
        <v>51</v>
      </c>
      <c r="D40" s="35" t="s">
        <v>52</v>
      </c>
      <c r="E40" s="35" t="s">
        <v>53</v>
      </c>
      <c r="F40" s="35" t="s">
        <v>54</v>
      </c>
      <c r="G40" s="33"/>
    </row>
    <row r="41" spans="1:12" x14ac:dyDescent="0.25">
      <c r="A41" s="36">
        <v>7</v>
      </c>
      <c r="B41" s="36">
        <v>8</v>
      </c>
      <c r="C41" s="36">
        <f t="shared" ref="C41:C54" si="2">+(A41+B41)/2</f>
        <v>7.5</v>
      </c>
      <c r="D41" s="37">
        <f>+(A41^3)-(EXP(0.8*A41))-20</f>
        <v>52.573592573847236</v>
      </c>
      <c r="E41" s="36">
        <f>+(B41^3)-(EXP(0.8*B41))-20</f>
        <v>-109.84503787208223</v>
      </c>
      <c r="F41" s="36">
        <f>+(C41^3)-(EXP(0.8*C41))-20</f>
        <v>-1.5537934927351102</v>
      </c>
      <c r="G41" s="33"/>
    </row>
    <row r="42" spans="1:12" x14ac:dyDescent="0.25">
      <c r="A42" s="36">
        <f>A41</f>
        <v>7</v>
      </c>
      <c r="B42" s="36">
        <f>C41</f>
        <v>7.5</v>
      </c>
      <c r="C42" s="36">
        <f t="shared" si="2"/>
        <v>7.25</v>
      </c>
      <c r="D42" s="37">
        <f t="shared" ref="D42:F54" si="3">+(A42^3)-(EXP(0.8*A42))-20</f>
        <v>52.573592573847236</v>
      </c>
      <c r="E42" s="36">
        <f t="shared" si="3"/>
        <v>-1.5537934927351102</v>
      </c>
      <c r="F42" s="36">
        <f t="shared" si="3"/>
        <v>30.778565090351094</v>
      </c>
      <c r="G42" s="33"/>
    </row>
    <row r="43" spans="1:12" x14ac:dyDescent="0.25">
      <c r="A43" s="36">
        <f>C42</f>
        <v>7.25</v>
      </c>
      <c r="B43" s="36">
        <f>B42</f>
        <v>7.5</v>
      </c>
      <c r="C43" s="36">
        <f t="shared" si="2"/>
        <v>7.375</v>
      </c>
      <c r="D43" s="37">
        <f t="shared" si="3"/>
        <v>30.778565090351094</v>
      </c>
      <c r="E43" s="36">
        <f t="shared" si="3"/>
        <v>-1.5537934927351102</v>
      </c>
      <c r="F43" s="36">
        <f t="shared" si="3"/>
        <v>16.093391509671108</v>
      </c>
      <c r="G43" s="33"/>
    </row>
    <row r="44" spans="1:12" x14ac:dyDescent="0.25">
      <c r="A44" s="36">
        <f>C43</f>
        <v>7.375</v>
      </c>
      <c r="B44" s="36">
        <f>B43</f>
        <v>7.5</v>
      </c>
      <c r="C44" s="36">
        <f t="shared" si="2"/>
        <v>7.4375</v>
      </c>
      <c r="D44" s="37">
        <f t="shared" si="3"/>
        <v>16.093391509671108</v>
      </c>
      <c r="E44" s="36">
        <f t="shared" si="3"/>
        <v>-1.5537934927351102</v>
      </c>
      <c r="F44" s="36">
        <f t="shared" si="3"/>
        <v>7.6624324232631125</v>
      </c>
      <c r="G44" s="33"/>
    </row>
    <row r="45" spans="1:12" x14ac:dyDescent="0.25">
      <c r="A45" s="36">
        <f>C44</f>
        <v>7.4375</v>
      </c>
      <c r="B45" s="36">
        <f>B44</f>
        <v>7.5</v>
      </c>
      <c r="C45" s="36">
        <f t="shared" si="2"/>
        <v>7.46875</v>
      </c>
      <c r="D45" s="37">
        <f t="shared" si="3"/>
        <v>7.6624324232631125</v>
      </c>
      <c r="E45" s="36">
        <f t="shared" si="3"/>
        <v>-1.5537934927351102</v>
      </c>
      <c r="F45" s="36">
        <f t="shared" si="3"/>
        <v>3.1554035475757587</v>
      </c>
      <c r="G45" s="33"/>
    </row>
    <row r="46" spans="1:12" x14ac:dyDescent="0.25">
      <c r="A46" s="36">
        <f>C45</f>
        <v>7.46875</v>
      </c>
      <c r="B46" s="36">
        <f>B45</f>
        <v>7.5</v>
      </c>
      <c r="C46" s="36">
        <f t="shared" si="2"/>
        <v>7.484375</v>
      </c>
      <c r="D46" s="37">
        <f t="shared" si="3"/>
        <v>3.1554035475757587</v>
      </c>
      <c r="E46" s="36">
        <f t="shared" si="3"/>
        <v>-1.5537934927351102</v>
      </c>
      <c r="F46" s="36">
        <f t="shared" si="3"/>
        <v>0.8264500659092846</v>
      </c>
      <c r="G46" s="34"/>
    </row>
    <row r="47" spans="1:12" x14ac:dyDescent="0.25">
      <c r="A47" s="36">
        <f>C46</f>
        <v>7.484375</v>
      </c>
      <c r="B47" s="36">
        <f>B46</f>
        <v>7.5</v>
      </c>
      <c r="C47" s="36">
        <f t="shared" si="2"/>
        <v>7.4921875</v>
      </c>
      <c r="D47" s="37">
        <f t="shared" si="3"/>
        <v>0.8264500659092846</v>
      </c>
      <c r="E47" s="36">
        <f t="shared" si="3"/>
        <v>-1.5537934927351102</v>
      </c>
      <c r="F47" s="36">
        <f t="shared" si="3"/>
        <v>-0.35721317290773413</v>
      </c>
      <c r="G47" s="33"/>
    </row>
    <row r="48" spans="1:12" x14ac:dyDescent="0.25">
      <c r="A48" s="36">
        <f>A47</f>
        <v>7.484375</v>
      </c>
      <c r="B48" s="36">
        <f>C47</f>
        <v>7.4921875</v>
      </c>
      <c r="C48" s="36">
        <f t="shared" si="2"/>
        <v>7.48828125</v>
      </c>
      <c r="D48" s="37">
        <f t="shared" si="3"/>
        <v>0.8264500659092846</v>
      </c>
      <c r="E48" s="36">
        <f t="shared" si="3"/>
        <v>-0.35721317290773413</v>
      </c>
      <c r="F48" s="36">
        <f t="shared" si="3"/>
        <v>0.23622714772449172</v>
      </c>
      <c r="G48" s="33"/>
    </row>
    <row r="49" spans="1:7" x14ac:dyDescent="0.25">
      <c r="A49" s="36">
        <f>C48</f>
        <v>7.48828125</v>
      </c>
      <c r="B49" s="36">
        <f>B48</f>
        <v>7.4921875</v>
      </c>
      <c r="C49" s="36">
        <f t="shared" si="2"/>
        <v>7.490234375</v>
      </c>
      <c r="D49" s="37">
        <f t="shared" si="3"/>
        <v>0.23622714772449172</v>
      </c>
      <c r="E49" s="36">
        <f t="shared" si="3"/>
        <v>-0.35721317290773413</v>
      </c>
      <c r="F49" s="36">
        <f t="shared" si="3"/>
        <v>-6.0090097039847024E-2</v>
      </c>
      <c r="G49" s="33"/>
    </row>
    <row r="50" spans="1:7" x14ac:dyDescent="0.25">
      <c r="A50" s="36">
        <f>A49</f>
        <v>7.48828125</v>
      </c>
      <c r="B50" s="36">
        <f>C49</f>
        <v>7.490234375</v>
      </c>
      <c r="C50" s="36">
        <f t="shared" si="2"/>
        <v>7.4892578125</v>
      </c>
      <c r="D50" s="37">
        <f t="shared" si="3"/>
        <v>0.23622714772449172</v>
      </c>
      <c r="E50" s="36">
        <f t="shared" si="3"/>
        <v>-6.0090097039847024E-2</v>
      </c>
      <c r="F50" s="36">
        <f t="shared" si="3"/>
        <v>8.8169161606231228E-2</v>
      </c>
      <c r="G50" s="33"/>
    </row>
    <row r="51" spans="1:7" x14ac:dyDescent="0.25">
      <c r="A51" s="36">
        <f>C50</f>
        <v>7.4892578125</v>
      </c>
      <c r="B51" s="36">
        <f>B50</f>
        <v>7.490234375</v>
      </c>
      <c r="C51" s="36">
        <f t="shared" si="2"/>
        <v>7.48974609375</v>
      </c>
      <c r="D51" s="37">
        <f t="shared" si="3"/>
        <v>8.8169161606231228E-2</v>
      </c>
      <c r="E51" s="36">
        <f t="shared" si="3"/>
        <v>-6.0090097039847024E-2</v>
      </c>
      <c r="F51" s="36">
        <f t="shared" si="3"/>
        <v>1.406470292135964E-2</v>
      </c>
      <c r="G51" s="33"/>
    </row>
    <row r="52" spans="1:7" x14ac:dyDescent="0.25">
      <c r="A52" s="36">
        <f>A51</f>
        <v>7.4892578125</v>
      </c>
      <c r="B52" s="36">
        <f>C51</f>
        <v>7.48974609375</v>
      </c>
      <c r="C52" s="36">
        <f t="shared" si="2"/>
        <v>7.489501953125</v>
      </c>
      <c r="D52" s="37">
        <f t="shared" si="3"/>
        <v>8.8169161606231228E-2</v>
      </c>
      <c r="E52" s="36">
        <f t="shared" si="3"/>
        <v>1.406470292135964E-2</v>
      </c>
      <c r="F52" s="36">
        <f t="shared" si="3"/>
        <v>5.112322347645204E-2</v>
      </c>
      <c r="G52" s="33"/>
    </row>
    <row r="53" spans="1:7" x14ac:dyDescent="0.25">
      <c r="A53" s="36">
        <f>C52</f>
        <v>7.489501953125</v>
      </c>
      <c r="B53" s="36">
        <f>B52</f>
        <v>7.48974609375</v>
      </c>
      <c r="C53" s="36">
        <f t="shared" si="2"/>
        <v>7.4896240234375</v>
      </c>
      <c r="D53" s="37">
        <f t="shared" si="3"/>
        <v>5.112322347645204E-2</v>
      </c>
      <c r="E53" s="36">
        <f t="shared" si="3"/>
        <v>1.406470292135964E-2</v>
      </c>
      <c r="F53" s="36">
        <f t="shared" si="3"/>
        <v>3.2595536183066542E-2</v>
      </c>
      <c r="G53" s="33"/>
    </row>
    <row r="54" spans="1:7" x14ac:dyDescent="0.25">
      <c r="A54" s="40">
        <f>C53</f>
        <v>7.4896240234375</v>
      </c>
      <c r="B54" s="40">
        <f>B53</f>
        <v>7.48974609375</v>
      </c>
      <c r="C54" s="43">
        <f t="shared" si="2"/>
        <v>7.48968505859375</v>
      </c>
      <c r="D54" s="41">
        <f t="shared" si="3"/>
        <v>3.2595536183066542E-2</v>
      </c>
      <c r="E54" s="40">
        <f t="shared" si="3"/>
        <v>1.406470292135964E-2</v>
      </c>
      <c r="F54" s="40">
        <f t="shared" si="3"/>
        <v>2.3330512820848526E-2</v>
      </c>
      <c r="G54" t="s">
        <v>15</v>
      </c>
    </row>
    <row r="55" spans="1:7" x14ac:dyDescent="0.25">
      <c r="A55" s="33"/>
      <c r="B55" s="33"/>
      <c r="C55" s="33"/>
      <c r="D55" s="33"/>
      <c r="E55" s="33"/>
      <c r="F55" s="33"/>
      <c r="G55" s="33"/>
    </row>
    <row r="56" spans="1:7" x14ac:dyDescent="0.25">
      <c r="A56" s="33"/>
      <c r="B56" s="33"/>
      <c r="C56" s="33"/>
      <c r="D56" s="33"/>
      <c r="E56" s="33"/>
      <c r="F56" s="33"/>
      <c r="G56" s="33"/>
    </row>
    <row r="57" spans="1:7" x14ac:dyDescent="0.25">
      <c r="A57" t="s">
        <v>17</v>
      </c>
    </row>
    <row r="62" spans="1:7" x14ac:dyDescent="0.25">
      <c r="E62" s="33"/>
      <c r="F62" s="33"/>
    </row>
    <row r="63" spans="1:7" x14ac:dyDescent="0.25">
      <c r="E63" s="33"/>
      <c r="F63" s="33"/>
    </row>
    <row r="64" spans="1:7" x14ac:dyDescent="0.25">
      <c r="E64" s="33"/>
      <c r="F64" s="33"/>
    </row>
    <row r="65" spans="1:12" x14ac:dyDescent="0.25">
      <c r="E65" s="33"/>
      <c r="F65" s="33"/>
    </row>
    <row r="66" spans="1:12" x14ac:dyDescent="0.25">
      <c r="E66" s="33"/>
      <c r="F66" s="33"/>
    </row>
    <row r="67" spans="1:12" x14ac:dyDescent="0.25">
      <c r="A67" t="s">
        <v>56</v>
      </c>
    </row>
    <row r="69" spans="1:12" x14ac:dyDescent="0.25">
      <c r="A69" s="35" t="s">
        <v>49</v>
      </c>
      <c r="B69" s="35" t="s">
        <v>50</v>
      </c>
      <c r="C69" s="35" t="s">
        <v>51</v>
      </c>
      <c r="D69" s="35" t="s">
        <v>52</v>
      </c>
      <c r="E69" s="35" t="s">
        <v>53</v>
      </c>
      <c r="F69" s="35" t="s">
        <v>54</v>
      </c>
    </row>
    <row r="70" spans="1:12" x14ac:dyDescent="0.25">
      <c r="A70" s="36">
        <v>5</v>
      </c>
      <c r="B70" s="36">
        <v>6</v>
      </c>
      <c r="C70" s="36">
        <f t="shared" ref="C70:C79" si="4">+(A70+B70)/2</f>
        <v>5.5</v>
      </c>
      <c r="D70" s="36">
        <f>+(3*(SIN(0.5*A70)))-(0.5*A70)+2</f>
        <v>1.2954164323118698</v>
      </c>
      <c r="E70" s="39">
        <f>+(3*(SIN(0.5*B70)))-(0.5*B70)+2</f>
        <v>-0.57663997582039839</v>
      </c>
      <c r="F70" s="36">
        <f>+(3*(SIN(0.5*C70)))-(0.5*C70)+2</f>
        <v>0.39498297615699496</v>
      </c>
    </row>
    <row r="71" spans="1:12" x14ac:dyDescent="0.25">
      <c r="A71" s="36">
        <f>C70</f>
        <v>5.5</v>
      </c>
      <c r="B71" s="36">
        <f>B70</f>
        <v>6</v>
      </c>
      <c r="C71" s="36">
        <f t="shared" si="4"/>
        <v>5.75</v>
      </c>
      <c r="D71" s="36">
        <f t="shared" ref="D71:F79" si="5">+(3*(SIN(0.5*A71)))-(0.5*A71)+2</f>
        <v>0.39498297615699496</v>
      </c>
      <c r="E71" s="39">
        <f t="shared" si="5"/>
        <v>-0.57663997582039839</v>
      </c>
      <c r="F71" s="36">
        <f t="shared" si="5"/>
        <v>-8.4662019909737651E-2</v>
      </c>
      <c r="K71" s="30" t="s">
        <v>33</v>
      </c>
      <c r="L71" s="30"/>
    </row>
    <row r="72" spans="1:12" x14ac:dyDescent="0.25">
      <c r="A72" s="36">
        <f>A71</f>
        <v>5.5</v>
      </c>
      <c r="B72" s="36">
        <f>C71</f>
        <v>5.75</v>
      </c>
      <c r="C72" s="36">
        <f t="shared" si="4"/>
        <v>5.625</v>
      </c>
      <c r="D72" s="36">
        <f t="shared" si="5"/>
        <v>0.39498297615699496</v>
      </c>
      <c r="E72" s="39">
        <f t="shared" si="5"/>
        <v>-8.4662019909737651E-2</v>
      </c>
      <c r="F72" s="36">
        <f t="shared" si="5"/>
        <v>0.15705352099906067</v>
      </c>
      <c r="K72" s="30" t="s">
        <v>36</v>
      </c>
      <c r="L72" s="30"/>
    </row>
    <row r="73" spans="1:12" x14ac:dyDescent="0.25">
      <c r="A73" s="36">
        <f>C72</f>
        <v>5.625</v>
      </c>
      <c r="B73" s="36">
        <f>B72</f>
        <v>5.75</v>
      </c>
      <c r="C73" s="36">
        <f t="shared" si="4"/>
        <v>5.6875</v>
      </c>
      <c r="D73" s="36">
        <f t="shared" si="5"/>
        <v>0.15705352099906067</v>
      </c>
      <c r="E73" s="39">
        <f t="shared" si="5"/>
        <v>-8.4662019909737651E-2</v>
      </c>
      <c r="F73" s="36">
        <f t="shared" si="5"/>
        <v>3.6625586454641201E-2</v>
      </c>
    </row>
    <row r="74" spans="1:12" x14ac:dyDescent="0.25">
      <c r="A74" s="36">
        <f>C73</f>
        <v>5.6875</v>
      </c>
      <c r="B74" s="36">
        <f>B73</f>
        <v>5.75</v>
      </c>
      <c r="C74" s="36">
        <f t="shared" si="4"/>
        <v>5.71875</v>
      </c>
      <c r="D74" s="36">
        <f t="shared" si="5"/>
        <v>3.6625586454641201E-2</v>
      </c>
      <c r="E74" s="39">
        <f t="shared" si="5"/>
        <v>-8.4662019909737651E-2</v>
      </c>
      <c r="F74" s="36">
        <f t="shared" si="5"/>
        <v>-2.3916234089780275E-2</v>
      </c>
      <c r="G74" s="33"/>
    </row>
    <row r="75" spans="1:12" x14ac:dyDescent="0.25">
      <c r="A75" s="36">
        <f>A74</f>
        <v>5.6875</v>
      </c>
      <c r="B75" s="36">
        <f>C74</f>
        <v>5.71875</v>
      </c>
      <c r="C75" s="36">
        <f t="shared" si="4"/>
        <v>5.703125</v>
      </c>
      <c r="D75" s="36">
        <f t="shared" si="5"/>
        <v>3.6625586454641201E-2</v>
      </c>
      <c r="E75" s="39">
        <f t="shared" si="5"/>
        <v>-2.3916234089780275E-2</v>
      </c>
      <c r="F75" s="36">
        <f t="shared" si="5"/>
        <v>6.3808584027273962E-3</v>
      </c>
      <c r="G75" s="34"/>
    </row>
    <row r="76" spans="1:12" x14ac:dyDescent="0.25">
      <c r="A76" s="36">
        <f>C75</f>
        <v>5.703125</v>
      </c>
      <c r="B76" s="36">
        <f>B75</f>
        <v>5.71875</v>
      </c>
      <c r="C76" s="36">
        <f t="shared" si="4"/>
        <v>5.7109375</v>
      </c>
      <c r="D76" s="36">
        <f t="shared" si="5"/>
        <v>6.3808584027273962E-3</v>
      </c>
      <c r="E76" s="39">
        <f t="shared" si="5"/>
        <v>-2.3916234089780275E-2</v>
      </c>
      <c r="F76" s="36">
        <f t="shared" si="5"/>
        <v>-8.7612279860023179E-3</v>
      </c>
      <c r="G76" s="33"/>
    </row>
    <row r="77" spans="1:12" x14ac:dyDescent="0.25">
      <c r="A77" s="36">
        <f>A76</f>
        <v>5.703125</v>
      </c>
      <c r="B77" s="36">
        <f>C76</f>
        <v>5.7109375</v>
      </c>
      <c r="C77" s="36">
        <f t="shared" si="4"/>
        <v>5.70703125</v>
      </c>
      <c r="D77" s="36">
        <f t="shared" si="5"/>
        <v>6.3808584027273962E-3</v>
      </c>
      <c r="E77" s="39">
        <f t="shared" si="5"/>
        <v>-8.7612279860023179E-3</v>
      </c>
      <c r="F77" s="36">
        <f t="shared" si="5"/>
        <v>-1.1885591072906543E-3</v>
      </c>
      <c r="G77" s="33"/>
      <c r="I77" t="s">
        <v>15</v>
      </c>
    </row>
    <row r="78" spans="1:12" x14ac:dyDescent="0.25">
      <c r="A78" s="36">
        <f>A77</f>
        <v>5.703125</v>
      </c>
      <c r="B78" s="36">
        <f>C77</f>
        <v>5.70703125</v>
      </c>
      <c r="C78" s="36">
        <f t="shared" si="4"/>
        <v>5.705078125</v>
      </c>
      <c r="D78" s="36">
        <f t="shared" si="5"/>
        <v>6.3808584027273962E-3</v>
      </c>
      <c r="E78" s="39">
        <f t="shared" si="5"/>
        <v>-1.1885591072906543E-3</v>
      </c>
      <c r="F78" s="36">
        <f t="shared" si="5"/>
        <v>2.5965574081250331E-3</v>
      </c>
      <c r="G78" s="33"/>
    </row>
    <row r="79" spans="1:12" x14ac:dyDescent="0.25">
      <c r="A79" s="40">
        <f>C78</f>
        <v>5.705078125</v>
      </c>
      <c r="B79" s="40">
        <f>B78</f>
        <v>5.70703125</v>
      </c>
      <c r="C79" s="43">
        <f t="shared" si="4"/>
        <v>5.7060546875</v>
      </c>
      <c r="D79" s="40">
        <f t="shared" si="5"/>
        <v>2.5965574081250331E-3</v>
      </c>
      <c r="E79" s="42">
        <f t="shared" si="5"/>
        <v>-1.1885591072906543E-3</v>
      </c>
      <c r="F79" s="40">
        <f t="shared" si="5"/>
        <v>7.0410092313410999E-4</v>
      </c>
      <c r="G79" s="33"/>
    </row>
    <row r="80" spans="1:12" x14ac:dyDescent="0.25">
      <c r="A80" s="33"/>
      <c r="B80" s="33"/>
      <c r="C80" s="33"/>
      <c r="D80" s="33"/>
      <c r="E80" s="33"/>
      <c r="F80" s="33"/>
      <c r="G80" s="33"/>
    </row>
    <row r="81" spans="1:7" x14ac:dyDescent="0.25">
      <c r="A81" s="33"/>
      <c r="B81" s="33"/>
      <c r="C81" s="33"/>
      <c r="D81" s="33"/>
      <c r="E81" s="33"/>
      <c r="F81" s="33"/>
      <c r="G81" s="33"/>
    </row>
    <row r="83" spans="1:7" x14ac:dyDescent="0.25">
      <c r="A83" t="s">
        <v>19</v>
      </c>
    </row>
    <row r="89" spans="1:7" x14ac:dyDescent="0.25">
      <c r="A89" t="s">
        <v>57</v>
      </c>
    </row>
    <row r="91" spans="1:7" x14ac:dyDescent="0.25">
      <c r="A91" s="35" t="s">
        <v>49</v>
      </c>
      <c r="B91" s="35" t="s">
        <v>50</v>
      </c>
      <c r="C91" s="35" t="s">
        <v>51</v>
      </c>
      <c r="D91" s="35" t="s">
        <v>52</v>
      </c>
      <c r="E91" s="35" t="s">
        <v>53</v>
      </c>
      <c r="F91" s="35" t="s">
        <v>54</v>
      </c>
    </row>
    <row r="92" spans="1:7" x14ac:dyDescent="0.25">
      <c r="A92" s="36">
        <v>-2</v>
      </c>
      <c r="B92" s="36">
        <v>-1</v>
      </c>
      <c r="C92" s="36">
        <f t="shared" ref="C92:C104" si="6">+(A92+B92)/2</f>
        <v>-1.5</v>
      </c>
      <c r="D92" s="36">
        <f>+(A92^3)-((A92^2)*EXP(-0.5*A92))-(3*A92)+1</f>
        <v>-11.873127313836179</v>
      </c>
      <c r="E92" s="36">
        <f>+(B92^3)-((B92^2)*EXP(-0.5*B92))-(3*B92)+1</f>
        <v>1.3512787292998718</v>
      </c>
      <c r="F92" s="36">
        <f>+(C92^3)-((C92^2)*EXP(-0.5*C92))-(3*C92)+1</f>
        <v>-2.6382500373785192</v>
      </c>
    </row>
    <row r="93" spans="1:7" x14ac:dyDescent="0.25">
      <c r="A93" s="36">
        <f>C92</f>
        <v>-1.5</v>
      </c>
      <c r="B93" s="36">
        <f>B92</f>
        <v>-1</v>
      </c>
      <c r="C93" s="36">
        <f t="shared" si="6"/>
        <v>-1.25</v>
      </c>
      <c r="D93" s="36">
        <f t="shared" ref="D93:F104" si="7">+(A93^3)-((A93^2)*EXP(-0.5*A93))-(3*A93)+1</f>
        <v>-2.6382500373785192</v>
      </c>
      <c r="E93" s="36">
        <f t="shared" si="7"/>
        <v>1.3512787292998718</v>
      </c>
      <c r="F93" s="36">
        <f t="shared" si="7"/>
        <v>-0.12225930848784738</v>
      </c>
    </row>
    <row r="94" spans="1:7" x14ac:dyDescent="0.25">
      <c r="A94" s="36">
        <f>C93</f>
        <v>-1.25</v>
      </c>
      <c r="B94" s="36">
        <f>B93</f>
        <v>-1</v>
      </c>
      <c r="C94" s="36">
        <f t="shared" si="6"/>
        <v>-1.125</v>
      </c>
      <c r="D94" s="36">
        <f t="shared" si="7"/>
        <v>-0.12225930848784738</v>
      </c>
      <c r="E94" s="36">
        <f t="shared" si="7"/>
        <v>1.3512787292998718</v>
      </c>
      <c r="F94" s="36">
        <f t="shared" si="7"/>
        <v>0.72993082478462235</v>
      </c>
    </row>
    <row r="95" spans="1:7" x14ac:dyDescent="0.25">
      <c r="A95" s="36">
        <f>A94</f>
        <v>-1.25</v>
      </c>
      <c r="B95" s="36">
        <f>C94</f>
        <v>-1.125</v>
      </c>
      <c r="C95" s="36">
        <f t="shared" si="6"/>
        <v>-1.1875</v>
      </c>
      <c r="D95" s="36">
        <f t="shared" si="7"/>
        <v>-0.12225930848784738</v>
      </c>
      <c r="E95" s="36">
        <f t="shared" si="7"/>
        <v>0.72993082478462235</v>
      </c>
      <c r="F95" s="36">
        <f t="shared" si="7"/>
        <v>0.33447635923789498</v>
      </c>
    </row>
    <row r="96" spans="1:7" x14ac:dyDescent="0.25">
      <c r="A96" s="36">
        <f>A95</f>
        <v>-1.25</v>
      </c>
      <c r="B96" s="36">
        <f>C95</f>
        <v>-1.1875</v>
      </c>
      <c r="C96" s="36">
        <f t="shared" si="6"/>
        <v>-1.21875</v>
      </c>
      <c r="D96" s="36">
        <f t="shared" si="7"/>
        <v>-0.12225930848784738</v>
      </c>
      <c r="E96" s="36">
        <f t="shared" si="7"/>
        <v>0.33447635923789498</v>
      </c>
      <c r="F96" s="36">
        <f t="shared" si="7"/>
        <v>0.11399815032026517</v>
      </c>
    </row>
    <row r="97" spans="1:9" x14ac:dyDescent="0.25">
      <c r="A97" s="36">
        <f>A96</f>
        <v>-1.25</v>
      </c>
      <c r="B97" s="36">
        <f>C96</f>
        <v>-1.21875</v>
      </c>
      <c r="C97" s="36">
        <f t="shared" si="6"/>
        <v>-1.234375</v>
      </c>
      <c r="D97" s="36">
        <f t="shared" si="7"/>
        <v>-0.12225930848784738</v>
      </c>
      <c r="E97" s="36">
        <f t="shared" si="7"/>
        <v>0.11399815032026517</v>
      </c>
      <c r="F97" s="36">
        <f t="shared" si="7"/>
        <v>-2.1290798148916323E-3</v>
      </c>
    </row>
    <row r="98" spans="1:9" x14ac:dyDescent="0.25">
      <c r="A98" s="36">
        <f>C97</f>
        <v>-1.234375</v>
      </c>
      <c r="B98" s="36">
        <f>B97</f>
        <v>-1.21875</v>
      </c>
      <c r="C98" s="36">
        <f t="shared" si="6"/>
        <v>-1.2265625</v>
      </c>
      <c r="D98" s="36">
        <f t="shared" si="7"/>
        <v>-2.1290798148916323E-3</v>
      </c>
      <c r="E98" s="36">
        <f t="shared" si="7"/>
        <v>0.11399815032026517</v>
      </c>
      <c r="F98" s="36">
        <f t="shared" si="7"/>
        <v>5.6431254909981021E-2</v>
      </c>
    </row>
    <row r="99" spans="1:9" x14ac:dyDescent="0.25">
      <c r="A99" s="36">
        <f>A98</f>
        <v>-1.234375</v>
      </c>
      <c r="B99" s="36">
        <f>C98</f>
        <v>-1.2265625</v>
      </c>
      <c r="C99" s="36">
        <f t="shared" si="6"/>
        <v>-1.23046875</v>
      </c>
      <c r="D99" s="36">
        <f t="shared" si="7"/>
        <v>-2.1290798148916323E-3</v>
      </c>
      <c r="E99" s="36">
        <f t="shared" si="7"/>
        <v>5.6431254909981021E-2</v>
      </c>
      <c r="F99" s="36">
        <f t="shared" si="7"/>
        <v>2.7275723191040768E-2</v>
      </c>
    </row>
    <row r="100" spans="1:9" x14ac:dyDescent="0.25">
      <c r="A100" s="36">
        <f>A99</f>
        <v>-1.234375</v>
      </c>
      <c r="B100" s="36">
        <f>C99</f>
        <v>-1.23046875</v>
      </c>
      <c r="C100" s="36">
        <f t="shared" si="6"/>
        <v>-1.232421875</v>
      </c>
      <c r="D100" s="36">
        <f t="shared" si="7"/>
        <v>-2.1290798148916323E-3</v>
      </c>
      <c r="E100" s="36">
        <f t="shared" si="7"/>
        <v>2.7275723191040768E-2</v>
      </c>
      <c r="F100" s="36">
        <f t="shared" si="7"/>
        <v>1.2604537666828897E-2</v>
      </c>
    </row>
    <row r="101" spans="1:9" x14ac:dyDescent="0.25">
      <c r="A101" s="36">
        <f>A100</f>
        <v>-1.234375</v>
      </c>
      <c r="B101" s="36">
        <f>C100</f>
        <v>-1.232421875</v>
      </c>
      <c r="C101" s="36">
        <f t="shared" si="6"/>
        <v>-1.2333984375</v>
      </c>
      <c r="D101" s="36">
        <f t="shared" si="7"/>
        <v>-2.1290798148916323E-3</v>
      </c>
      <c r="E101" s="36">
        <f t="shared" si="7"/>
        <v>1.2604537666828897E-2</v>
      </c>
      <c r="F101" s="36">
        <f t="shared" si="7"/>
        <v>5.2455400605149194E-3</v>
      </c>
    </row>
    <row r="102" spans="1:9" x14ac:dyDescent="0.25">
      <c r="A102" s="36">
        <f>A101</f>
        <v>-1.234375</v>
      </c>
      <c r="B102" s="36">
        <f>C101</f>
        <v>-1.2333984375</v>
      </c>
      <c r="C102" s="36">
        <f t="shared" si="6"/>
        <v>-1.23388671875</v>
      </c>
      <c r="D102" s="36">
        <f t="shared" si="7"/>
        <v>-2.1290798148916323E-3</v>
      </c>
      <c r="E102" s="36">
        <f t="shared" si="7"/>
        <v>5.2455400605149194E-3</v>
      </c>
      <c r="F102" s="36">
        <f t="shared" si="7"/>
        <v>1.5601837993290957E-3</v>
      </c>
    </row>
    <row r="103" spans="1:9" x14ac:dyDescent="0.25">
      <c r="A103" s="36">
        <f>A102</f>
        <v>-1.234375</v>
      </c>
      <c r="B103" s="36">
        <f>C102</f>
        <v>-1.23388671875</v>
      </c>
      <c r="C103" s="36">
        <f t="shared" si="6"/>
        <v>-1.234130859375</v>
      </c>
      <c r="D103" s="36">
        <f t="shared" si="7"/>
        <v>-2.1290798148916323E-3</v>
      </c>
      <c r="E103" s="36">
        <f t="shared" si="7"/>
        <v>1.5601837993290957E-3</v>
      </c>
      <c r="F103" s="36">
        <f t="shared" si="7"/>
        <v>-2.8395947701653768E-4</v>
      </c>
    </row>
    <row r="104" spans="1:9" x14ac:dyDescent="0.25">
      <c r="A104" s="40">
        <f>C103</f>
        <v>-1.234130859375</v>
      </c>
      <c r="B104" s="40">
        <f>B103</f>
        <v>-1.23388671875</v>
      </c>
      <c r="C104" s="43">
        <f t="shared" si="6"/>
        <v>-1.2340087890625</v>
      </c>
      <c r="D104" s="40">
        <f t="shared" si="7"/>
        <v>-2.8395947701653768E-4</v>
      </c>
      <c r="E104" s="40">
        <f t="shared" si="7"/>
        <v>1.5601837993290957E-3</v>
      </c>
      <c r="F104" s="40">
        <f t="shared" si="7"/>
        <v>6.3823427989184722E-4</v>
      </c>
    </row>
    <row r="105" spans="1:9" x14ac:dyDescent="0.25">
      <c r="G105" s="33"/>
    </row>
    <row r="106" spans="1:9" x14ac:dyDescent="0.25">
      <c r="A106" t="s">
        <v>58</v>
      </c>
      <c r="G106" s="33"/>
    </row>
    <row r="107" spans="1:9" x14ac:dyDescent="0.25">
      <c r="G107" s="33"/>
    </row>
    <row r="108" spans="1:9" x14ac:dyDescent="0.25">
      <c r="A108" s="35" t="s">
        <v>49</v>
      </c>
      <c r="B108" s="35" t="s">
        <v>50</v>
      </c>
      <c r="C108" s="35" t="s">
        <v>51</v>
      </c>
      <c r="D108" s="35" t="s">
        <v>52</v>
      </c>
      <c r="E108" s="35" t="s">
        <v>53</v>
      </c>
      <c r="F108" s="35" t="s">
        <v>54</v>
      </c>
      <c r="G108" s="34"/>
    </row>
    <row r="109" spans="1:9" x14ac:dyDescent="0.25">
      <c r="A109" s="36">
        <v>0</v>
      </c>
      <c r="B109" s="36">
        <v>1</v>
      </c>
      <c r="C109" s="36">
        <f t="shared" ref="C109:C120" si="8">+(A109+B109)/2</f>
        <v>0.5</v>
      </c>
      <c r="D109" s="36">
        <f>+(A109^3)-((A109^2)*EXP(-0.5*A109))-(3*A109)+1</f>
        <v>1</v>
      </c>
      <c r="E109" s="36">
        <f>+(B109^3)-((B109^2)*EXP(-0.5*B109))-(3*B109)+1</f>
        <v>-1.6065306597126332</v>
      </c>
      <c r="F109" s="36">
        <f>+(C109^3)-((C109^2)*EXP(-0.5*C109))-(3*C109)+1</f>
        <v>-0.56970019576785114</v>
      </c>
      <c r="G109" s="33"/>
    </row>
    <row r="110" spans="1:9" x14ac:dyDescent="0.25">
      <c r="A110" s="36">
        <f>A109</f>
        <v>0</v>
      </c>
      <c r="B110" s="36">
        <f>C109</f>
        <v>0.5</v>
      </c>
      <c r="C110" s="36">
        <f t="shared" si="8"/>
        <v>0.25</v>
      </c>
      <c r="D110" s="36">
        <f t="shared" ref="D110:F120" si="9">+(A110^3)-((A110^2)*EXP(-0.5*A110))-(3*A110)+1</f>
        <v>1</v>
      </c>
      <c r="E110" s="36">
        <f t="shared" si="9"/>
        <v>-0.56970019576785114</v>
      </c>
      <c r="F110" s="36">
        <f t="shared" si="9"/>
        <v>0.2104689435884628</v>
      </c>
      <c r="G110" s="33"/>
    </row>
    <row r="111" spans="1:9" x14ac:dyDescent="0.25">
      <c r="A111" s="36">
        <f>C110</f>
        <v>0.25</v>
      </c>
      <c r="B111" s="36">
        <f>B110</f>
        <v>0.5</v>
      </c>
      <c r="C111" s="36">
        <f t="shared" si="8"/>
        <v>0.375</v>
      </c>
      <c r="D111" s="36">
        <f t="shared" si="9"/>
        <v>0.2104689435884628</v>
      </c>
      <c r="E111" s="36">
        <f t="shared" si="9"/>
        <v>-0.56970019576785114</v>
      </c>
      <c r="F111" s="36">
        <f t="shared" si="9"/>
        <v>-0.18884784474411886</v>
      </c>
      <c r="G111" s="33"/>
    </row>
    <row r="112" spans="1:9" x14ac:dyDescent="0.25">
      <c r="A112" s="36">
        <f>A111</f>
        <v>0.25</v>
      </c>
      <c r="B112" s="36">
        <f>C111</f>
        <v>0.375</v>
      </c>
      <c r="C112" s="36">
        <f t="shared" si="8"/>
        <v>0.3125</v>
      </c>
      <c r="D112" s="36">
        <f t="shared" si="9"/>
        <v>0.2104689435884628</v>
      </c>
      <c r="E112" s="36">
        <f t="shared" si="9"/>
        <v>-0.18884784474411886</v>
      </c>
      <c r="F112" s="36">
        <f t="shared" si="9"/>
        <v>9.4877610051344874E-3</v>
      </c>
      <c r="G112" s="33"/>
      <c r="I112" t="s">
        <v>15</v>
      </c>
    </row>
    <row r="113" spans="1:12" x14ac:dyDescent="0.25">
      <c r="A113" s="36">
        <f>C112</f>
        <v>0.3125</v>
      </c>
      <c r="B113" s="36">
        <f>B112</f>
        <v>0.375</v>
      </c>
      <c r="C113" s="36">
        <f t="shared" si="8"/>
        <v>0.34375</v>
      </c>
      <c r="D113" s="36">
        <f t="shared" si="9"/>
        <v>9.4877610051344874E-3</v>
      </c>
      <c r="E113" s="36">
        <f t="shared" si="9"/>
        <v>-0.18884784474411886</v>
      </c>
      <c r="F113" s="36">
        <f t="shared" si="9"/>
        <v>-9.0135220394872428E-2</v>
      </c>
      <c r="G113" s="33"/>
    </row>
    <row r="114" spans="1:12" x14ac:dyDescent="0.25">
      <c r="A114" s="36">
        <f>A113</f>
        <v>0.3125</v>
      </c>
      <c r="B114" s="36">
        <f>C113</f>
        <v>0.34375</v>
      </c>
      <c r="C114" s="36">
        <f t="shared" si="8"/>
        <v>0.328125</v>
      </c>
      <c r="D114" s="36">
        <f t="shared" si="9"/>
        <v>9.4877610051344874E-3</v>
      </c>
      <c r="E114" s="36">
        <f t="shared" si="9"/>
        <v>-9.0135220394872428E-2</v>
      </c>
      <c r="F114" s="36">
        <f t="shared" si="9"/>
        <v>-4.0422049298882712E-2</v>
      </c>
      <c r="G114" s="33"/>
    </row>
    <row r="115" spans="1:12" x14ac:dyDescent="0.25">
      <c r="A115" s="36">
        <f>A114</f>
        <v>0.3125</v>
      </c>
      <c r="B115" s="36">
        <f>C114</f>
        <v>0.328125</v>
      </c>
      <c r="C115" s="36">
        <f t="shared" si="8"/>
        <v>0.3203125</v>
      </c>
      <c r="D115" s="36">
        <f t="shared" si="9"/>
        <v>9.4877610051344874E-3</v>
      </c>
      <c r="E115" s="36">
        <f t="shared" si="9"/>
        <v>-4.0422049298882712E-2</v>
      </c>
      <c r="F115" s="36">
        <f t="shared" si="9"/>
        <v>-1.5489782308668598E-2</v>
      </c>
      <c r="G115" s="33"/>
    </row>
    <row r="116" spans="1:12" x14ac:dyDescent="0.25">
      <c r="A116" s="36">
        <f>A115</f>
        <v>0.3125</v>
      </c>
      <c r="B116" s="36">
        <f>C115</f>
        <v>0.3203125</v>
      </c>
      <c r="C116" s="36">
        <f t="shared" si="8"/>
        <v>0.31640625</v>
      </c>
      <c r="D116" s="36">
        <f t="shared" si="9"/>
        <v>9.4877610051344874E-3</v>
      </c>
      <c r="E116" s="36">
        <f t="shared" si="9"/>
        <v>-1.5489782308668598E-2</v>
      </c>
      <c r="F116" s="36">
        <f t="shared" si="9"/>
        <v>-3.006427010124435E-3</v>
      </c>
      <c r="G116" s="33"/>
    </row>
    <row r="117" spans="1:12" x14ac:dyDescent="0.25">
      <c r="A117" s="36">
        <f>A116</f>
        <v>0.3125</v>
      </c>
      <c r="B117" s="36">
        <f>C116</f>
        <v>0.31640625</v>
      </c>
      <c r="C117" s="36">
        <f t="shared" si="8"/>
        <v>0.314453125</v>
      </c>
      <c r="D117" s="36">
        <f t="shared" si="9"/>
        <v>9.4877610051344874E-3</v>
      </c>
      <c r="E117" s="36">
        <f t="shared" si="9"/>
        <v>-3.006427010124435E-3</v>
      </c>
      <c r="F117" s="36">
        <f t="shared" si="9"/>
        <v>3.239343334866418E-3</v>
      </c>
      <c r="G117" s="33"/>
    </row>
    <row r="118" spans="1:12" x14ac:dyDescent="0.25">
      <c r="A118" s="36">
        <f>C117</f>
        <v>0.314453125</v>
      </c>
      <c r="B118" s="36">
        <f>B117</f>
        <v>0.31640625</v>
      </c>
      <c r="C118" s="36">
        <f t="shared" si="8"/>
        <v>0.3154296875</v>
      </c>
      <c r="D118" s="36">
        <f t="shared" si="9"/>
        <v>3.239343334866418E-3</v>
      </c>
      <c r="E118" s="36">
        <f t="shared" si="9"/>
        <v>-3.006427010124435E-3</v>
      </c>
      <c r="F118" s="36">
        <f t="shared" si="9"/>
        <v>1.1612344203659752E-4</v>
      </c>
      <c r="G118" s="33"/>
    </row>
    <row r="119" spans="1:12" x14ac:dyDescent="0.25">
      <c r="A119" s="36">
        <f>C118</f>
        <v>0.3154296875</v>
      </c>
      <c r="B119" s="36">
        <f>B118</f>
        <v>0.31640625</v>
      </c>
      <c r="C119" s="36">
        <f t="shared" si="8"/>
        <v>0.31591796875</v>
      </c>
      <c r="D119" s="36">
        <f t="shared" si="9"/>
        <v>1.1612344203659752E-4</v>
      </c>
      <c r="E119" s="36">
        <f t="shared" si="9"/>
        <v>-3.006427010124435E-3</v>
      </c>
      <c r="F119" s="36">
        <f t="shared" si="9"/>
        <v>-1.4452359395975556E-3</v>
      </c>
      <c r="G119" s="33"/>
    </row>
    <row r="120" spans="1:12" x14ac:dyDescent="0.25">
      <c r="A120" s="36">
        <f>A119</f>
        <v>0.3154296875</v>
      </c>
      <c r="B120" s="36">
        <f>C119</f>
        <v>0.31591796875</v>
      </c>
      <c r="C120" s="36">
        <f t="shared" si="8"/>
        <v>0.315673828125</v>
      </c>
      <c r="D120" s="36">
        <f t="shared" si="9"/>
        <v>1.1612344203659752E-4</v>
      </c>
      <c r="E120" s="36">
        <f t="shared" si="9"/>
        <v>-1.4452359395975556E-3</v>
      </c>
      <c r="F120" s="36">
        <f t="shared" si="9"/>
        <v>-6.6457722824031507E-4</v>
      </c>
      <c r="G120" s="34"/>
    </row>
    <row r="121" spans="1:12" x14ac:dyDescent="0.25">
      <c r="A121" s="36">
        <f>A120</f>
        <v>0.3154296875</v>
      </c>
      <c r="B121" s="36">
        <f>C120</f>
        <v>0.315673828125</v>
      </c>
      <c r="C121" s="36">
        <f>+(A121+B121)/2</f>
        <v>0.3155517578125</v>
      </c>
      <c r="D121" s="36">
        <f>+(A121^3)-((A121^2)*EXP(-0.5*A121))-(3*A121)+1</f>
        <v>1.1612344203659752E-4</v>
      </c>
      <c r="E121" s="36">
        <f>+(B121^3)-((B121^2)*EXP(-0.5*B121))-(3*B121)+1</f>
        <v>-6.6457722824031507E-4</v>
      </c>
      <c r="F121" s="36">
        <f>+(C121^3)-((C121^2)*EXP(-0.5*C121))-(3*C121)+1</f>
        <v>-2.7423213053778817E-4</v>
      </c>
      <c r="G121" s="33"/>
    </row>
    <row r="122" spans="1:12" x14ac:dyDescent="0.25">
      <c r="A122" s="40">
        <f>A121</f>
        <v>0.3154296875</v>
      </c>
      <c r="B122" s="40">
        <f>C121</f>
        <v>0.3155517578125</v>
      </c>
      <c r="C122" s="43">
        <f>+(A122+B122)/2</f>
        <v>0.31549072265625</v>
      </c>
      <c r="D122" s="40">
        <f>+(A122^3)-((A122^2)*EXP(-0.5*A122))-(3*A122)+1</f>
        <v>1.1612344203659752E-4</v>
      </c>
      <c r="E122" s="40">
        <f>+(B122^3)-((B122^2)*EXP(-0.5*B122))-(3*B122)+1</f>
        <v>-2.7423213053778817E-4</v>
      </c>
      <c r="F122" s="40">
        <f>+(C122^3)-((C122^2)*EXP(-0.5*C122))-(3*C122)+1</f>
        <v>-7.9055652680848354E-5</v>
      </c>
      <c r="G122" s="33"/>
    </row>
    <row r="123" spans="1:12" x14ac:dyDescent="0.25">
      <c r="G123" s="33"/>
      <c r="K123" s="30" t="s">
        <v>33</v>
      </c>
      <c r="L123" s="30"/>
    </row>
    <row r="124" spans="1:12" x14ac:dyDescent="0.25">
      <c r="A124" t="s">
        <v>59</v>
      </c>
      <c r="G124" s="33"/>
      <c r="I124" t="s">
        <v>15</v>
      </c>
      <c r="K124" s="30" t="s">
        <v>39</v>
      </c>
      <c r="L124" s="30"/>
    </row>
    <row r="125" spans="1:12" x14ac:dyDescent="0.25">
      <c r="G125" s="33"/>
      <c r="K125" s="30" t="s">
        <v>38</v>
      </c>
      <c r="L125" s="30"/>
    </row>
    <row r="126" spans="1:12" x14ac:dyDescent="0.25">
      <c r="A126" s="35" t="s">
        <v>49</v>
      </c>
      <c r="B126" s="35" t="s">
        <v>50</v>
      </c>
      <c r="C126" s="35" t="s">
        <v>51</v>
      </c>
      <c r="D126" s="35" t="s">
        <v>52</v>
      </c>
      <c r="E126" s="35" t="s">
        <v>53</v>
      </c>
      <c r="F126" s="35" t="s">
        <v>54</v>
      </c>
      <c r="G126" s="33"/>
      <c r="K126" s="30" t="s">
        <v>37</v>
      </c>
      <c r="L126" s="30"/>
    </row>
    <row r="127" spans="1:12" x14ac:dyDescent="0.25">
      <c r="A127" s="36">
        <v>1</v>
      </c>
      <c r="B127" s="36">
        <v>2</v>
      </c>
      <c r="C127" s="36">
        <f t="shared" ref="C127:C140" si="10">+(A127+B127)/2</f>
        <v>1.5</v>
      </c>
      <c r="D127" s="36">
        <f>+(A127^3)-((A127^2)*EXP(-0.5*A127))-(3*A127)+1</f>
        <v>-1.6065306597126332</v>
      </c>
      <c r="E127" s="36">
        <f>+(B127^3)-((B127^2)*EXP(-0.5*B127))-(3*B127)+1</f>
        <v>1.5284822353142307</v>
      </c>
      <c r="F127" s="36">
        <f>+(C127^3)-((C127^2)*EXP(-0.5*C127))-(3*C127)+1</f>
        <v>-1.1878247436672833</v>
      </c>
      <c r="G127" s="33"/>
    </row>
    <row r="128" spans="1:12" x14ac:dyDescent="0.25">
      <c r="A128" s="36">
        <f>C127</f>
        <v>1.5</v>
      </c>
      <c r="B128" s="36">
        <f>B127</f>
        <v>2</v>
      </c>
      <c r="C128" s="36">
        <f t="shared" si="10"/>
        <v>1.75</v>
      </c>
      <c r="D128" s="36">
        <f t="shared" ref="D128:F140" si="11">+(A128^3)-((A128^2)*EXP(-0.5*A128))-(3*A128)+1</f>
        <v>-1.1878247436672833</v>
      </c>
      <c r="E128" s="36">
        <f t="shared" si="11"/>
        <v>1.5284822353142307</v>
      </c>
      <c r="F128" s="36">
        <f t="shared" si="11"/>
        <v>-0.16726493526543162</v>
      </c>
      <c r="G128" s="33"/>
    </row>
    <row r="129" spans="1:9" x14ac:dyDescent="0.25">
      <c r="A129" s="36">
        <f>C128</f>
        <v>1.75</v>
      </c>
      <c r="B129" s="36">
        <f>B128</f>
        <v>2</v>
      </c>
      <c r="C129" s="36">
        <f t="shared" si="10"/>
        <v>1.875</v>
      </c>
      <c r="D129" s="36">
        <f t="shared" si="11"/>
        <v>-0.16726493526543162</v>
      </c>
      <c r="E129" s="36">
        <f t="shared" si="11"/>
        <v>1.5284822353142307</v>
      </c>
      <c r="F129" s="36">
        <f t="shared" si="11"/>
        <v>0.59005834371437871</v>
      </c>
      <c r="G129" s="33"/>
    </row>
    <row r="130" spans="1:9" x14ac:dyDescent="0.25">
      <c r="A130" s="36">
        <f>A129</f>
        <v>1.75</v>
      </c>
      <c r="B130" s="36">
        <f>C129</f>
        <v>1.875</v>
      </c>
      <c r="C130" s="36">
        <f t="shared" si="10"/>
        <v>1.8125</v>
      </c>
      <c r="D130" s="36">
        <f t="shared" si="11"/>
        <v>-0.16726493526543162</v>
      </c>
      <c r="E130" s="36">
        <f t="shared" si="11"/>
        <v>0.59005834371437871</v>
      </c>
      <c r="F130" s="36">
        <f t="shared" si="11"/>
        <v>0.18952259218409928</v>
      </c>
      <c r="G130" s="34"/>
    </row>
    <row r="131" spans="1:9" x14ac:dyDescent="0.25">
      <c r="A131" s="36">
        <f>A130</f>
        <v>1.75</v>
      </c>
      <c r="B131" s="36">
        <f>C130</f>
        <v>1.8125</v>
      </c>
      <c r="C131" s="36">
        <f t="shared" si="10"/>
        <v>1.78125</v>
      </c>
      <c r="D131" s="36">
        <f t="shared" si="11"/>
        <v>-0.16726493526543162</v>
      </c>
      <c r="E131" s="36">
        <f t="shared" si="11"/>
        <v>0.18952259218409928</v>
      </c>
      <c r="F131" s="36">
        <f t="shared" si="11"/>
        <v>5.7561880955994127E-3</v>
      </c>
      <c r="G131" s="33"/>
    </row>
    <row r="132" spans="1:9" x14ac:dyDescent="0.25">
      <c r="A132" s="36">
        <f>A131</f>
        <v>1.75</v>
      </c>
      <c r="B132" s="36">
        <f>C131</f>
        <v>1.78125</v>
      </c>
      <c r="C132" s="36">
        <f t="shared" si="10"/>
        <v>1.765625</v>
      </c>
      <c r="D132" s="36">
        <f t="shared" si="11"/>
        <v>-0.16726493526543162</v>
      </c>
      <c r="E132" s="36">
        <f t="shared" si="11"/>
        <v>5.7561880955994127E-3</v>
      </c>
      <c r="F132" s="36">
        <f t="shared" si="11"/>
        <v>-8.2085517878812908E-2</v>
      </c>
      <c r="G132" s="33"/>
    </row>
    <row r="133" spans="1:9" x14ac:dyDescent="0.25">
      <c r="A133" s="36">
        <f>C132</f>
        <v>1.765625</v>
      </c>
      <c r="B133" s="36">
        <f>B132</f>
        <v>1.78125</v>
      </c>
      <c r="C133" s="36">
        <f t="shared" si="10"/>
        <v>1.7734375</v>
      </c>
      <c r="D133" s="36">
        <f t="shared" si="11"/>
        <v>-8.2085517878812908E-2</v>
      </c>
      <c r="E133" s="36">
        <f t="shared" si="11"/>
        <v>5.7561880955994127E-3</v>
      </c>
      <c r="F133" s="36">
        <f t="shared" si="11"/>
        <v>-3.8498954300466792E-2</v>
      </c>
      <c r="G133" s="33"/>
    </row>
    <row r="134" spans="1:9" x14ac:dyDescent="0.25">
      <c r="A134" s="36">
        <f>C133</f>
        <v>1.7734375</v>
      </c>
      <c r="B134" s="36">
        <f>B133</f>
        <v>1.78125</v>
      </c>
      <c r="C134" s="36">
        <f t="shared" si="10"/>
        <v>1.77734375</v>
      </c>
      <c r="D134" s="36">
        <f t="shared" si="11"/>
        <v>-3.8498954300466792E-2</v>
      </c>
      <c r="E134" s="36">
        <f t="shared" si="11"/>
        <v>5.7561880955994127E-3</v>
      </c>
      <c r="F134" s="36">
        <f t="shared" si="11"/>
        <v>-1.6455143251628002E-2</v>
      </c>
      <c r="G134" s="33"/>
    </row>
    <row r="135" spans="1:9" x14ac:dyDescent="0.25">
      <c r="A135" s="36">
        <f>C134</f>
        <v>1.77734375</v>
      </c>
      <c r="B135" s="36">
        <f>B134</f>
        <v>1.78125</v>
      </c>
      <c r="C135" s="36">
        <f t="shared" si="10"/>
        <v>1.779296875</v>
      </c>
      <c r="D135" s="36">
        <f t="shared" si="11"/>
        <v>-1.6455143251628002E-2</v>
      </c>
      <c r="E135" s="36">
        <f t="shared" si="11"/>
        <v>5.7561880955994127E-3</v>
      </c>
      <c r="F135" s="36">
        <f t="shared" si="11"/>
        <v>-5.3704410824852999E-3</v>
      </c>
      <c r="G135" s="33"/>
      <c r="I135" t="s">
        <v>15</v>
      </c>
    </row>
    <row r="136" spans="1:9" x14ac:dyDescent="0.25">
      <c r="A136" s="36">
        <f>C135</f>
        <v>1.779296875</v>
      </c>
      <c r="B136" s="36">
        <f>B135</f>
        <v>1.78125</v>
      </c>
      <c r="C136" s="36">
        <f t="shared" si="10"/>
        <v>1.7802734375</v>
      </c>
      <c r="D136" s="36">
        <f t="shared" si="11"/>
        <v>-5.3704410824852999E-3</v>
      </c>
      <c r="E136" s="36">
        <f t="shared" si="11"/>
        <v>5.7561880955994127E-3</v>
      </c>
      <c r="F136" s="36">
        <f t="shared" si="11"/>
        <v>1.8762969750696357E-4</v>
      </c>
      <c r="G136" s="33"/>
    </row>
    <row r="137" spans="1:9" x14ac:dyDescent="0.25">
      <c r="A137" s="36">
        <f>A136</f>
        <v>1.779296875</v>
      </c>
      <c r="B137" s="36">
        <f>C136</f>
        <v>1.7802734375</v>
      </c>
      <c r="C137" s="36">
        <f t="shared" si="10"/>
        <v>1.77978515625</v>
      </c>
      <c r="D137" s="36">
        <f t="shared" si="11"/>
        <v>-5.3704410824852999E-3</v>
      </c>
      <c r="E137" s="36">
        <f t="shared" si="11"/>
        <v>1.8762969750696357E-4</v>
      </c>
      <c r="F137" s="36">
        <f t="shared" si="11"/>
        <v>-2.5927162781558266E-3</v>
      </c>
      <c r="G137" s="33"/>
    </row>
    <row r="138" spans="1:9" x14ac:dyDescent="0.25">
      <c r="A138" s="36">
        <f>C137</f>
        <v>1.77978515625</v>
      </c>
      <c r="B138" s="36">
        <f>B137</f>
        <v>1.7802734375</v>
      </c>
      <c r="C138" s="36">
        <f t="shared" si="10"/>
        <v>1.780029296875</v>
      </c>
      <c r="D138" s="36">
        <f t="shared" si="11"/>
        <v>-2.5927162781558266E-3</v>
      </c>
      <c r="E138" s="36">
        <f t="shared" si="11"/>
        <v>1.8762969750696357E-4</v>
      </c>
      <c r="F138" s="36">
        <f t="shared" si="11"/>
        <v>-1.2028709825662176E-3</v>
      </c>
    </row>
    <row r="139" spans="1:9" x14ac:dyDescent="0.25">
      <c r="A139" s="36">
        <f>C138</f>
        <v>1.780029296875</v>
      </c>
      <c r="B139" s="36">
        <f>B138</f>
        <v>1.7802734375</v>
      </c>
      <c r="C139" s="36">
        <f t="shared" si="10"/>
        <v>1.7801513671875</v>
      </c>
      <c r="D139" s="36">
        <f t="shared" si="11"/>
        <v>-1.2028709825662176E-3</v>
      </c>
      <c r="E139" s="36">
        <f t="shared" si="11"/>
        <v>1.8762969750696357E-4</v>
      </c>
      <c r="F139" s="36">
        <f t="shared" si="11"/>
        <v>-5.0770257131826924E-4</v>
      </c>
    </row>
    <row r="140" spans="1:9" x14ac:dyDescent="0.25">
      <c r="A140" s="40">
        <f>C139</f>
        <v>1.7801513671875</v>
      </c>
      <c r="B140" s="40">
        <f>B139</f>
        <v>1.7802734375</v>
      </c>
      <c r="C140" s="43">
        <f t="shared" si="10"/>
        <v>1.78021240234375</v>
      </c>
      <c r="D140" s="40">
        <f t="shared" si="11"/>
        <v>-5.0770257131826924E-4</v>
      </c>
      <c r="E140" s="40">
        <f t="shared" si="11"/>
        <v>1.8762969750696357E-4</v>
      </c>
      <c r="F140" s="40">
        <f t="shared" si="11"/>
        <v>-1.6005691981924031E-4</v>
      </c>
    </row>
    <row r="143" spans="1:9" x14ac:dyDescent="0.25">
      <c r="A143" t="s">
        <v>23</v>
      </c>
    </row>
    <row r="146" spans="1:11" x14ac:dyDescent="0.25">
      <c r="G146" s="33"/>
    </row>
    <row r="147" spans="1:11" x14ac:dyDescent="0.25">
      <c r="G147" s="33"/>
    </row>
    <row r="148" spans="1:11" x14ac:dyDescent="0.25">
      <c r="G148" s="33"/>
    </row>
    <row r="149" spans="1:11" x14ac:dyDescent="0.25">
      <c r="G149" s="33"/>
    </row>
    <row r="150" spans="1:11" x14ac:dyDescent="0.25">
      <c r="A150" s="33"/>
      <c r="B150" s="33"/>
      <c r="C150" s="33"/>
      <c r="D150" s="33"/>
      <c r="E150" s="33"/>
      <c r="F150" s="33"/>
      <c r="G150" s="33"/>
    </row>
    <row r="151" spans="1:11" x14ac:dyDescent="0.25">
      <c r="A151" t="s">
        <v>60</v>
      </c>
      <c r="G151" s="33"/>
    </row>
    <row r="152" spans="1:11" x14ac:dyDescent="0.25">
      <c r="G152" s="33"/>
    </row>
    <row r="153" spans="1:11" x14ac:dyDescent="0.25">
      <c r="A153" s="35" t="s">
        <v>49</v>
      </c>
      <c r="B153" s="35" t="s">
        <v>50</v>
      </c>
      <c r="C153" s="35" t="s">
        <v>51</v>
      </c>
      <c r="D153" s="35" t="s">
        <v>52</v>
      </c>
      <c r="E153" s="35" t="s">
        <v>53</v>
      </c>
      <c r="F153" s="35" t="s">
        <v>54</v>
      </c>
      <c r="G153" s="33"/>
      <c r="J153" s="30" t="s">
        <v>41</v>
      </c>
      <c r="K153" s="30"/>
    </row>
    <row r="154" spans="1:11" x14ac:dyDescent="0.25">
      <c r="A154" s="36">
        <v>3</v>
      </c>
      <c r="B154" s="36">
        <v>4</v>
      </c>
      <c r="C154" s="36">
        <f t="shared" ref="C154:C167" si="12">+(A154+B154)/2</f>
        <v>3.5</v>
      </c>
      <c r="D154" s="36">
        <f>((COS(A154))^2)-(0.5*A154*(EXP(0.3*A154)))+5</f>
        <v>2.2906804765897588</v>
      </c>
      <c r="E154" s="36">
        <f>((COS(B154))^2)-(0.5*B154*(EXP(0.3*B154)))+5</f>
        <v>-1.212983862377401</v>
      </c>
      <c r="F154" s="36">
        <f>((COS(C154))^2)-(0.5*C154*(EXP(0.3*C154)))+5</f>
        <v>0.87606167056111595</v>
      </c>
      <c r="G154" s="33"/>
      <c r="J154" s="30" t="s">
        <v>42</v>
      </c>
      <c r="K154" s="30"/>
    </row>
    <row r="155" spans="1:11" x14ac:dyDescent="0.25">
      <c r="A155" s="36">
        <f>C154</f>
        <v>3.5</v>
      </c>
      <c r="B155" s="36">
        <f>B154</f>
        <v>4</v>
      </c>
      <c r="C155" s="36">
        <f t="shared" si="12"/>
        <v>3.75</v>
      </c>
      <c r="D155" s="36">
        <f t="shared" ref="D155:F167" si="13">((COS(A155))^2)-(0.5*A155*(EXP(0.3*A155)))+5</f>
        <v>0.87606167056111595</v>
      </c>
      <c r="E155" s="36">
        <f t="shared" si="13"/>
        <v>-1.212983862377401</v>
      </c>
      <c r="F155" s="36">
        <f t="shared" si="13"/>
        <v>-0.10208893280379527</v>
      </c>
      <c r="G155" s="33"/>
    </row>
    <row r="156" spans="1:11" x14ac:dyDescent="0.25">
      <c r="A156" s="36">
        <f>A155</f>
        <v>3.5</v>
      </c>
      <c r="B156" s="36">
        <f>C155</f>
        <v>3.75</v>
      </c>
      <c r="C156" s="36">
        <f t="shared" si="12"/>
        <v>3.625</v>
      </c>
      <c r="D156" s="36">
        <f t="shared" si="13"/>
        <v>0.87606167056111595</v>
      </c>
      <c r="E156" s="36">
        <f t="shared" si="13"/>
        <v>-0.10208893280379527</v>
      </c>
      <c r="F156" s="36">
        <f t="shared" si="13"/>
        <v>0.40655067707081294</v>
      </c>
      <c r="G156" s="33"/>
    </row>
    <row r="157" spans="1:11" x14ac:dyDescent="0.25">
      <c r="A157" s="36">
        <f>C156</f>
        <v>3.625</v>
      </c>
      <c r="B157" s="36">
        <f>B156</f>
        <v>3.75</v>
      </c>
      <c r="C157" s="36">
        <f t="shared" si="12"/>
        <v>3.6875</v>
      </c>
      <c r="D157" s="36">
        <f t="shared" si="13"/>
        <v>0.40655067707081294</v>
      </c>
      <c r="E157" s="36">
        <f t="shared" si="13"/>
        <v>-0.10208893280379527</v>
      </c>
      <c r="F157" s="36">
        <f t="shared" si="13"/>
        <v>0.15677999132921183</v>
      </c>
      <c r="G157" s="33"/>
    </row>
    <row r="158" spans="1:11" x14ac:dyDescent="0.25">
      <c r="A158" s="36">
        <f>C157</f>
        <v>3.6875</v>
      </c>
      <c r="B158" s="36">
        <f>B157</f>
        <v>3.75</v>
      </c>
      <c r="C158" s="36">
        <f t="shared" si="12"/>
        <v>3.71875</v>
      </c>
      <c r="D158" s="36">
        <f t="shared" si="13"/>
        <v>0.15677999132921183</v>
      </c>
      <c r="E158" s="36">
        <f t="shared" si="13"/>
        <v>-0.10208893280379527</v>
      </c>
      <c r="F158" s="36">
        <f t="shared" si="13"/>
        <v>2.8436804737782317E-2</v>
      </c>
      <c r="G158" s="33"/>
    </row>
    <row r="159" spans="1:11" x14ac:dyDescent="0.25">
      <c r="A159" s="36">
        <f>C158</f>
        <v>3.71875</v>
      </c>
      <c r="B159" s="36">
        <f>B158</f>
        <v>3.75</v>
      </c>
      <c r="C159" s="36">
        <f t="shared" si="12"/>
        <v>3.734375</v>
      </c>
      <c r="D159" s="36">
        <f t="shared" si="13"/>
        <v>2.8436804737782317E-2</v>
      </c>
      <c r="E159" s="36">
        <f t="shared" si="13"/>
        <v>-0.10208893280379527</v>
      </c>
      <c r="F159" s="36">
        <f t="shared" si="13"/>
        <v>-3.6559165284978157E-2</v>
      </c>
      <c r="G159" s="33"/>
    </row>
    <row r="160" spans="1:11" x14ac:dyDescent="0.25">
      <c r="A160" s="36">
        <f>A159</f>
        <v>3.71875</v>
      </c>
      <c r="B160" s="36">
        <f>C159</f>
        <v>3.734375</v>
      </c>
      <c r="C160" s="36">
        <f t="shared" si="12"/>
        <v>3.7265625</v>
      </c>
      <c r="D160" s="36">
        <f t="shared" si="13"/>
        <v>2.8436804737782317E-2</v>
      </c>
      <c r="E160" s="36">
        <f t="shared" si="13"/>
        <v>-3.6559165284978157E-2</v>
      </c>
      <c r="F160" s="36">
        <f t="shared" si="13"/>
        <v>-3.9937086888297557E-3</v>
      </c>
      <c r="G160" s="34"/>
    </row>
    <row r="161" spans="1:9" x14ac:dyDescent="0.25">
      <c r="A161" s="36">
        <f>A160</f>
        <v>3.71875</v>
      </c>
      <c r="B161" s="36">
        <f>C160</f>
        <v>3.7265625</v>
      </c>
      <c r="C161" s="36">
        <f t="shared" si="12"/>
        <v>3.72265625</v>
      </c>
      <c r="D161" s="36">
        <f t="shared" si="13"/>
        <v>2.8436804737782317E-2</v>
      </c>
      <c r="E161" s="36">
        <f t="shared" si="13"/>
        <v>-3.9937086888297557E-3</v>
      </c>
      <c r="F161" s="36">
        <f t="shared" si="13"/>
        <v>1.2238508701804207E-2</v>
      </c>
      <c r="G161" s="33"/>
    </row>
    <row r="162" spans="1:9" x14ac:dyDescent="0.25">
      <c r="A162" s="36">
        <f>C161</f>
        <v>3.72265625</v>
      </c>
      <c r="B162" s="36">
        <f>B161</f>
        <v>3.7265625</v>
      </c>
      <c r="C162" s="36">
        <f t="shared" si="12"/>
        <v>3.724609375</v>
      </c>
      <c r="D162" s="36">
        <f t="shared" si="13"/>
        <v>1.2238508701804207E-2</v>
      </c>
      <c r="E162" s="36">
        <f t="shared" si="13"/>
        <v>-3.9937086888297557E-3</v>
      </c>
      <c r="F162" s="36">
        <f t="shared" si="13"/>
        <v>4.1266286048040612E-3</v>
      </c>
      <c r="G162" s="33"/>
    </row>
    <row r="163" spans="1:9" x14ac:dyDescent="0.25">
      <c r="A163" s="36">
        <f>C162</f>
        <v>3.724609375</v>
      </c>
      <c r="B163" s="36">
        <f>B162</f>
        <v>3.7265625</v>
      </c>
      <c r="C163" s="36">
        <f t="shared" si="12"/>
        <v>3.7255859375</v>
      </c>
      <c r="D163" s="36">
        <f t="shared" si="13"/>
        <v>4.1266286048040612E-3</v>
      </c>
      <c r="E163" s="36">
        <f t="shared" si="13"/>
        <v>-3.9937086888297557E-3</v>
      </c>
      <c r="F163" s="36">
        <f t="shared" si="13"/>
        <v>6.7515658837891124E-5</v>
      </c>
      <c r="G163" s="33"/>
    </row>
    <row r="164" spans="1:9" x14ac:dyDescent="0.25">
      <c r="A164" s="36">
        <f>C163</f>
        <v>3.7255859375</v>
      </c>
      <c r="B164" s="36">
        <f>B163</f>
        <v>3.7265625</v>
      </c>
      <c r="C164" s="36">
        <f t="shared" si="12"/>
        <v>3.72607421875</v>
      </c>
      <c r="D164" s="36">
        <f t="shared" si="13"/>
        <v>6.7515658837891124E-5</v>
      </c>
      <c r="E164" s="36">
        <f t="shared" si="13"/>
        <v>-3.9937086888297557E-3</v>
      </c>
      <c r="F164" s="36">
        <f t="shared" si="13"/>
        <v>-1.9628327710181637E-3</v>
      </c>
      <c r="G164" s="33"/>
      <c r="I164" t="s">
        <v>15</v>
      </c>
    </row>
    <row r="165" spans="1:9" x14ac:dyDescent="0.25">
      <c r="A165" s="36">
        <f>A164</f>
        <v>3.7255859375</v>
      </c>
      <c r="B165" s="36">
        <f>C164</f>
        <v>3.72607421875</v>
      </c>
      <c r="C165" s="36">
        <f t="shared" si="12"/>
        <v>3.725830078125</v>
      </c>
      <c r="D165" s="36">
        <f t="shared" si="13"/>
        <v>6.7515658837891124E-5</v>
      </c>
      <c r="E165" s="36">
        <f t="shared" si="13"/>
        <v>-1.9628327710181637E-3</v>
      </c>
      <c r="F165" s="36">
        <f t="shared" si="13"/>
        <v>-9.47592597435154E-4</v>
      </c>
      <c r="G165" s="33"/>
    </row>
    <row r="166" spans="1:9" x14ac:dyDescent="0.25">
      <c r="A166" s="36">
        <f>A165</f>
        <v>3.7255859375</v>
      </c>
      <c r="B166" s="36">
        <f>C165</f>
        <v>3.725830078125</v>
      </c>
      <c r="C166" s="36">
        <f t="shared" si="12"/>
        <v>3.7257080078125</v>
      </c>
      <c r="D166" s="36">
        <f t="shared" si="13"/>
        <v>6.7515658837891124E-5</v>
      </c>
      <c r="E166" s="36">
        <f t="shared" si="13"/>
        <v>-9.47592597435154E-4</v>
      </c>
      <c r="F166" s="36">
        <f t="shared" si="13"/>
        <v>-4.4002197680192978E-4</v>
      </c>
      <c r="G166" s="33"/>
    </row>
    <row r="167" spans="1:9" x14ac:dyDescent="0.25">
      <c r="A167" s="40">
        <f>A166</f>
        <v>3.7255859375</v>
      </c>
      <c r="B167" s="40">
        <f>C166</f>
        <v>3.7257080078125</v>
      </c>
      <c r="C167" s="43">
        <f t="shared" si="12"/>
        <v>3.72564697265625</v>
      </c>
      <c r="D167" s="40">
        <f t="shared" si="13"/>
        <v>6.7515658837891124E-5</v>
      </c>
      <c r="E167" s="40">
        <f t="shared" si="13"/>
        <v>-4.4002197680192978E-4</v>
      </c>
      <c r="F167" s="40">
        <f t="shared" si="13"/>
        <v>-1.8624903550357175E-4</v>
      </c>
      <c r="G167" s="3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E84E-2881-458A-9CDC-50D8F2C36EA7}">
  <dimension ref="B2:C76"/>
  <sheetViews>
    <sheetView topLeftCell="A11" workbookViewId="0">
      <selection activeCell="M11" sqref="M11"/>
    </sheetView>
  </sheetViews>
  <sheetFormatPr baseColWidth="10" defaultRowHeight="15" x14ac:dyDescent="0.25"/>
  <sheetData>
    <row r="2" spans="2:3" x14ac:dyDescent="0.25">
      <c r="B2" t="s">
        <v>44</v>
      </c>
    </row>
    <row r="6" spans="2:3" x14ac:dyDescent="0.25">
      <c r="B6" s="31" t="s">
        <v>26</v>
      </c>
      <c r="C6" s="31" t="s">
        <v>43</v>
      </c>
    </row>
    <row r="7" spans="2:3" x14ac:dyDescent="0.25">
      <c r="B7" s="1">
        <v>0</v>
      </c>
      <c r="C7" s="1">
        <f>(B7^3)-EXP(0.8*B7)-20</f>
        <v>-21</v>
      </c>
    </row>
    <row r="8" spans="2:3" x14ac:dyDescent="0.25">
      <c r="B8" s="1">
        <v>1</v>
      </c>
      <c r="C8" s="1">
        <f t="shared" ref="C8:C14" si="0">(B8^3)-EXP(0.8*B8)-20</f>
        <v>-21.225540928492467</v>
      </c>
    </row>
    <row r="9" spans="2:3" x14ac:dyDescent="0.25">
      <c r="B9" s="1">
        <v>2</v>
      </c>
      <c r="C9" s="1">
        <f t="shared" si="0"/>
        <v>-16.953032424395115</v>
      </c>
    </row>
    <row r="10" spans="2:3" x14ac:dyDescent="0.25">
      <c r="B10" s="1">
        <v>3</v>
      </c>
      <c r="C10" s="1">
        <f t="shared" si="0"/>
        <v>-4.0231763806416048</v>
      </c>
    </row>
    <row r="11" spans="2:3" x14ac:dyDescent="0.25">
      <c r="B11" s="1">
        <v>4</v>
      </c>
      <c r="C11" s="1">
        <f>(B11^3)-EXP(0.8*B11)-20</f>
        <v>19.467469802890648</v>
      </c>
    </row>
    <row r="12" spans="2:3" x14ac:dyDescent="0.25">
      <c r="B12" s="1">
        <v>5</v>
      </c>
      <c r="C12" s="1">
        <f t="shared" si="0"/>
        <v>50.401849966855764</v>
      </c>
    </row>
    <row r="13" spans="2:3" x14ac:dyDescent="0.25">
      <c r="B13" s="1">
        <v>6</v>
      </c>
      <c r="C13" s="1">
        <f t="shared" si="0"/>
        <v>74.489582481265032</v>
      </c>
    </row>
    <row r="14" spans="2:3" x14ac:dyDescent="0.25">
      <c r="B14" s="1">
        <v>7</v>
      </c>
      <c r="C14" s="1">
        <f t="shared" si="0"/>
        <v>52.573592573847236</v>
      </c>
    </row>
    <row r="15" spans="2:3" x14ac:dyDescent="0.25">
      <c r="B15" s="1">
        <v>8</v>
      </c>
      <c r="C15" s="1">
        <f>(B15^3)-EXP(0.8*B15)-20</f>
        <v>-109.84503787208223</v>
      </c>
    </row>
    <row r="19" spans="2:3" x14ac:dyDescent="0.25">
      <c r="B19" t="s">
        <v>17</v>
      </c>
    </row>
    <row r="23" spans="2:3" x14ac:dyDescent="0.25">
      <c r="B23" s="31" t="s">
        <v>46</v>
      </c>
      <c r="C23" s="31" t="s">
        <v>45</v>
      </c>
    </row>
    <row r="24" spans="2:3" x14ac:dyDescent="0.25">
      <c r="B24" s="1">
        <v>-2</v>
      </c>
      <c r="C24" s="1">
        <f>(3*(SIN(0.5*B24)))-(0.5*B24)+2</f>
        <v>0.47558704557631071</v>
      </c>
    </row>
    <row r="25" spans="2:3" x14ac:dyDescent="0.25">
      <c r="B25" s="1">
        <v>-1</v>
      </c>
      <c r="C25" s="1">
        <f>(3*(SIN(0.5*B25)))-(0.5*B25)+2</f>
        <v>1.061723384187391</v>
      </c>
    </row>
    <row r="26" spans="2:3" x14ac:dyDescent="0.25">
      <c r="B26" s="1">
        <v>0</v>
      </c>
      <c r="C26" s="1">
        <f t="shared" ref="C26:C33" si="1">(3*SIN(0.5*B26))-(0.5*B26)+2</f>
        <v>2</v>
      </c>
    </row>
    <row r="27" spans="2:3" x14ac:dyDescent="0.25">
      <c r="B27" s="1">
        <v>1</v>
      </c>
      <c r="C27" s="1">
        <f t="shared" si="1"/>
        <v>2.938276615812609</v>
      </c>
    </row>
    <row r="28" spans="2:3" x14ac:dyDescent="0.25">
      <c r="B28" s="1">
        <v>2</v>
      </c>
      <c r="C28" s="9">
        <f t="shared" si="1"/>
        <v>3.5244129544236893</v>
      </c>
    </row>
    <row r="29" spans="2:3" x14ac:dyDescent="0.25">
      <c r="B29" s="1">
        <v>3</v>
      </c>
      <c r="C29" s="9">
        <f t="shared" si="1"/>
        <v>3.4924849598121632</v>
      </c>
    </row>
    <row r="30" spans="2:3" x14ac:dyDescent="0.25">
      <c r="B30" s="1">
        <v>4</v>
      </c>
      <c r="C30" s="1">
        <f t="shared" si="1"/>
        <v>2.7278922804770449</v>
      </c>
    </row>
    <row r="31" spans="2:3" x14ac:dyDescent="0.25">
      <c r="B31" s="1">
        <v>5</v>
      </c>
      <c r="C31" s="9">
        <f t="shared" si="1"/>
        <v>1.2954164323118698</v>
      </c>
    </row>
    <row r="32" spans="2:3" x14ac:dyDescent="0.25">
      <c r="B32" s="1">
        <v>6</v>
      </c>
      <c r="C32" s="9">
        <f t="shared" si="1"/>
        <v>-0.57663997582039839</v>
      </c>
    </row>
    <row r="33" spans="2:3" x14ac:dyDescent="0.25">
      <c r="B33" s="1">
        <v>7</v>
      </c>
      <c r="C33" s="1">
        <f t="shared" si="1"/>
        <v>-2.5523496830688597</v>
      </c>
    </row>
    <row r="37" spans="2:3" x14ac:dyDescent="0.25">
      <c r="B37" t="s">
        <v>19</v>
      </c>
    </row>
    <row r="43" spans="2:3" x14ac:dyDescent="0.25">
      <c r="B43" s="31" t="s">
        <v>46</v>
      </c>
      <c r="C43" s="31" t="s">
        <v>45</v>
      </c>
    </row>
    <row r="44" spans="2:3" x14ac:dyDescent="0.25">
      <c r="B44" s="1">
        <v>-3</v>
      </c>
      <c r="C44" s="1">
        <f>B44^3 - B44^2*EXP(-0.5*B44) - 3*B44 + 1</f>
        <v>-57.335201633042573</v>
      </c>
    </row>
    <row r="45" spans="2:3" x14ac:dyDescent="0.25">
      <c r="B45" s="1">
        <v>-2.5</v>
      </c>
      <c r="C45" s="1">
        <f>B45^3 - B45^2*EXP(-0.5*B45) - 3*B45 + 1</f>
        <v>-28.939643484136511</v>
      </c>
    </row>
    <row r="46" spans="2:3" x14ac:dyDescent="0.25">
      <c r="B46" s="1">
        <v>-2</v>
      </c>
      <c r="C46" s="1">
        <f>B46^3 - B46^2*EXP(-0.5*B46) - 3*B46 + 1</f>
        <v>-11.873127313836179</v>
      </c>
    </row>
    <row r="47" spans="2:3" x14ac:dyDescent="0.25">
      <c r="B47" s="9">
        <v>-1.5</v>
      </c>
      <c r="C47" s="9">
        <f t="shared" ref="C47:C54" si="2">B47^3 - B47^2*EXP(-0.5*B47) - 3*B47 + 1</f>
        <v>-2.6382500373785192</v>
      </c>
    </row>
    <row r="48" spans="2:3" x14ac:dyDescent="0.25">
      <c r="B48" s="9">
        <v>-1</v>
      </c>
      <c r="C48" s="9">
        <f t="shared" si="2"/>
        <v>1.3512787292998718</v>
      </c>
    </row>
    <row r="49" spans="2:3" x14ac:dyDescent="0.25">
      <c r="B49" s="9">
        <v>-0.5</v>
      </c>
      <c r="C49" s="9">
        <f t="shared" si="2"/>
        <v>2.0539936458280645</v>
      </c>
    </row>
    <row r="50" spans="2:3" x14ac:dyDescent="0.25">
      <c r="B50" s="9">
        <v>0</v>
      </c>
      <c r="C50" s="9">
        <f t="shared" si="2"/>
        <v>1</v>
      </c>
    </row>
    <row r="51" spans="2:3" x14ac:dyDescent="0.25">
      <c r="B51" s="9">
        <v>0.5</v>
      </c>
      <c r="C51" s="9">
        <f t="shared" si="2"/>
        <v>-0.56970019576785114</v>
      </c>
    </row>
    <row r="52" spans="2:3" x14ac:dyDescent="0.25">
      <c r="B52" s="9">
        <v>1</v>
      </c>
      <c r="C52" s="9">
        <f t="shared" si="2"/>
        <v>-1.6065306597126332</v>
      </c>
    </row>
    <row r="53" spans="2:3" x14ac:dyDescent="0.25">
      <c r="B53" s="9">
        <v>1.5</v>
      </c>
      <c r="C53" s="9">
        <f t="shared" si="2"/>
        <v>-1.1878247436672833</v>
      </c>
    </row>
    <row r="54" spans="2:3" x14ac:dyDescent="0.25">
      <c r="B54" s="32">
        <v>2</v>
      </c>
      <c r="C54" s="32">
        <f t="shared" si="2"/>
        <v>1.5284822353142307</v>
      </c>
    </row>
    <row r="55" spans="2:3" x14ac:dyDescent="0.25">
      <c r="B55" s="9">
        <v>2.5</v>
      </c>
      <c r="C55" s="9">
        <f>B55^3 - B55^2*EXP(-0.5*B55) - 3*B55 + 1</f>
        <v>7.3343450196238127</v>
      </c>
    </row>
    <row r="56" spans="2:3" x14ac:dyDescent="0.25">
      <c r="B56" s="1">
        <v>3.5</v>
      </c>
      <c r="C56" s="1">
        <f>B56^3 - B56^2*EXP(-0.5*B56) - 3*B56 + 1</f>
        <v>31.246269192732044</v>
      </c>
    </row>
    <row r="59" spans="2:3" x14ac:dyDescent="0.25">
      <c r="B59" t="s">
        <v>47</v>
      </c>
    </row>
    <row r="65" spans="2:3" x14ac:dyDescent="0.25">
      <c r="B65" s="31" t="s">
        <v>46</v>
      </c>
      <c r="C65" s="31" t="s">
        <v>45</v>
      </c>
    </row>
    <row r="66" spans="2:3" x14ac:dyDescent="0.25">
      <c r="B66" s="1">
        <v>0</v>
      </c>
      <c r="C66" s="1">
        <f>(COS(B66)^2)-((0.5)*B66*EXP(0.3*B66))+5</f>
        <v>6</v>
      </c>
    </row>
    <row r="67" spans="2:3" x14ac:dyDescent="0.25">
      <c r="B67" s="1">
        <v>1</v>
      </c>
      <c r="C67" s="1">
        <f t="shared" ref="C67:C76" si="3">(COS(B67)^2)-((0.5)*B67*EXP(0.3*B67))+5</f>
        <v>4.6169971779384271</v>
      </c>
    </row>
    <row r="68" spans="2:3" x14ac:dyDescent="0.25">
      <c r="B68" s="1">
        <v>2</v>
      </c>
      <c r="C68" s="1">
        <f t="shared" si="3"/>
        <v>3.351059389177685</v>
      </c>
    </row>
    <row r="69" spans="2:3" x14ac:dyDescent="0.25">
      <c r="B69" s="9">
        <v>3</v>
      </c>
      <c r="C69" s="9">
        <f t="shared" si="3"/>
        <v>2.2906804765897588</v>
      </c>
    </row>
    <row r="70" spans="2:3" x14ac:dyDescent="0.25">
      <c r="B70" s="9">
        <v>4</v>
      </c>
      <c r="C70" s="9">
        <f t="shared" si="3"/>
        <v>-1.212983862377401</v>
      </c>
    </row>
    <row r="71" spans="2:3" x14ac:dyDescent="0.25">
      <c r="B71" s="1">
        <v>5</v>
      </c>
      <c r="C71" s="1">
        <f t="shared" si="3"/>
        <v>-6.1237584403833871</v>
      </c>
    </row>
    <row r="72" spans="2:3" x14ac:dyDescent="0.25">
      <c r="B72" s="1">
        <v>6</v>
      </c>
      <c r="C72" s="1">
        <f t="shared" si="3"/>
        <v>-12.227015413872586</v>
      </c>
    </row>
    <row r="73" spans="2:3" x14ac:dyDescent="0.25">
      <c r="B73" s="1">
        <v>7</v>
      </c>
      <c r="C73" s="1">
        <f t="shared" si="3"/>
        <v>-23.013226084882863</v>
      </c>
    </row>
    <row r="74" spans="2:3" x14ac:dyDescent="0.25">
      <c r="B74" s="1">
        <v>8</v>
      </c>
      <c r="C74" s="1">
        <f t="shared" si="3"/>
        <v>-39.071535262728098</v>
      </c>
    </row>
    <row r="75" spans="2:3" x14ac:dyDescent="0.25">
      <c r="B75" s="1">
        <v>9</v>
      </c>
      <c r="C75" s="1">
        <f t="shared" si="3"/>
        <v>-61.128634407805706</v>
      </c>
    </row>
    <row r="76" spans="2:3" x14ac:dyDescent="0.25">
      <c r="B76" s="1">
        <v>10</v>
      </c>
      <c r="C76" s="1">
        <f t="shared" si="3"/>
        <v>-94.723643585031652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Metodo de la secante</vt:lpstr>
      <vt:lpstr>Metodo de Newton</vt:lpstr>
      <vt:lpstr>Metodo de Biseccion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Mamani Vallejo</dc:creator>
  <cp:lastModifiedBy>David Mamani Vallejo</cp:lastModifiedBy>
  <dcterms:created xsi:type="dcterms:W3CDTF">2025-11-29T16:05:30Z</dcterms:created>
  <dcterms:modified xsi:type="dcterms:W3CDTF">2025-11-30T21:31:13Z</dcterms:modified>
</cp:coreProperties>
</file>